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202300"/>
  <mc:AlternateContent xmlns:mc="http://schemas.openxmlformats.org/markup-compatibility/2006">
    <mc:Choice Requires="x15">
      <x15ac:absPath xmlns:x15ac="http://schemas.microsoft.com/office/spreadsheetml/2010/11/ac" url="/Users/arshmehra/Desktop/"/>
    </mc:Choice>
  </mc:AlternateContent>
  <xr:revisionPtr revIDLastSave="0" documentId="8_{212E770F-D132-0346-8E16-0EBBD5826B42}" xr6:coauthVersionLast="47" xr6:coauthVersionMax="47" xr10:uidLastSave="{00000000-0000-0000-0000-000000000000}"/>
  <bookViews>
    <workbookView xWindow="0" yWindow="660" windowWidth="29400" windowHeight="17140" firstSheet="1" activeTab="6" xr2:uid="{33536A6D-2C92-F04C-BFFB-33BF50D2154B}"/>
  </bookViews>
  <sheets>
    <sheet name="Recruitment_dashboard_dataset" sheetId="1" r:id="rId1"/>
    <sheet name="Recruitment Funnel" sheetId="2" r:id="rId2"/>
    <sheet name="Hiring By Source" sheetId="3" r:id="rId3"/>
    <sheet name="Hiring Trend Over time " sheetId="9" r:id="rId4"/>
    <sheet name="Average Time-to-Hire by Source" sheetId="10" r:id="rId5"/>
    <sheet name="Recruitment Dashboard" sheetId="12" r:id="rId6"/>
    <sheet name="Key Insights" sheetId="13" r:id="rId7"/>
  </sheets>
  <definedNames>
    <definedName name="DATASET">Table4[]</definedName>
    <definedName name="Slicer_current_stage">#N/A</definedName>
    <definedName name="Slicer_Hire_month">#N/A</definedName>
    <definedName name="Slicer_source1">#N/A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2" l="1"/>
  <c r="N2" i="1"/>
  <c r="R2" i="1"/>
  <c r="O2" i="1"/>
  <c r="B8" i="12"/>
  <c r="B7" i="12"/>
  <c r="B6" i="12"/>
  <c r="B5" i="12" a="1"/>
  <c r="B5" i="12"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2"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3" i="1"/>
  <c r="Q4" i="1"/>
  <c r="Q5" i="1"/>
  <c r="Q6" i="1"/>
  <c r="Q7" i="1"/>
  <c r="Q8" i="1"/>
  <c r="Q9" i="1"/>
  <c r="Q10" i="1"/>
  <c r="Q11" i="1"/>
  <c r="Q2" i="1"/>
  <c r="M2" i="1"/>
  <c r="P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<sst xmlns="http://schemas.openxmlformats.org/spreadsheetml/2006/main" count="2568" uniqueCount="566">
  <si>
    <t>candidate_id</t>
  </si>
  <si>
    <t>candidate_name</t>
  </si>
  <si>
    <t>department</t>
  </si>
  <si>
    <t>job_title</t>
  </si>
  <si>
    <t>source</t>
  </si>
  <si>
    <t>current_stage</t>
  </si>
  <si>
    <t>applied_date</t>
  </si>
  <si>
    <t>interview_date</t>
  </si>
  <si>
    <t>offer_date</t>
  </si>
  <si>
    <t>hire_date</t>
  </si>
  <si>
    <t>recruiting_cost_usd</t>
  </si>
  <si>
    <t>Candidate_1</t>
  </si>
  <si>
    <t>HR</t>
  </si>
  <si>
    <t>Operations Manager</t>
  </si>
  <si>
    <t>Job Board</t>
  </si>
  <si>
    <t>Hired</t>
  </si>
  <si>
    <t>Candidate_2</t>
  </si>
  <si>
    <t>Engineering</t>
  </si>
  <si>
    <t>Rejected</t>
  </si>
  <si>
    <t>Candidate_3</t>
  </si>
  <si>
    <t>Sales</t>
  </si>
  <si>
    <t>Marketing Manager</t>
  </si>
  <si>
    <t>LinkedIn</t>
  </si>
  <si>
    <t>Applied</t>
  </si>
  <si>
    <t>Candidate_4</t>
  </si>
  <si>
    <t>Marketing</t>
  </si>
  <si>
    <t>Software Engineer</t>
  </si>
  <si>
    <t>Offer</t>
  </si>
  <si>
    <t>Candidate_5</t>
  </si>
  <si>
    <t>Candidate_6</t>
  </si>
  <si>
    <t>Sales Executive</t>
  </si>
  <si>
    <t>Final Interview</t>
  </si>
  <si>
    <t>Candidate_7</t>
  </si>
  <si>
    <t>Company Website</t>
  </si>
  <si>
    <t>Candidate_8</t>
  </si>
  <si>
    <t>Operations</t>
  </si>
  <si>
    <t>Referral</t>
  </si>
  <si>
    <t>Candidate_9</t>
  </si>
  <si>
    <t>Financial Analyst</t>
  </si>
  <si>
    <t>Candidate_10</t>
  </si>
  <si>
    <t>Candidate_11</t>
  </si>
  <si>
    <t>Candidate_12</t>
  </si>
  <si>
    <t>Candidate_13</t>
  </si>
  <si>
    <t>Screening</t>
  </si>
  <si>
    <t>Candidate_14</t>
  </si>
  <si>
    <t>Candidate_15</t>
  </si>
  <si>
    <t>Finance</t>
  </si>
  <si>
    <t>Candidate_16</t>
  </si>
  <si>
    <t>HR Specialist</t>
  </si>
  <si>
    <t>Agency</t>
  </si>
  <si>
    <t>Candidate_17</t>
  </si>
  <si>
    <t>Interview</t>
  </si>
  <si>
    <t>Candidate_18</t>
  </si>
  <si>
    <t>Candidate_19</t>
  </si>
  <si>
    <t>Candidate_20</t>
  </si>
  <si>
    <t>Candidate_21</t>
  </si>
  <si>
    <t>Candidate_22</t>
  </si>
  <si>
    <t>Candidate_23</t>
  </si>
  <si>
    <t>Candidate_24</t>
  </si>
  <si>
    <t>Candidate_25</t>
  </si>
  <si>
    <t>Candidate_26</t>
  </si>
  <si>
    <t>Candidate_27</t>
  </si>
  <si>
    <t>Candidate_28</t>
  </si>
  <si>
    <t>Candidate_29</t>
  </si>
  <si>
    <t>Candidate_30</t>
  </si>
  <si>
    <t>Candidate_31</t>
  </si>
  <si>
    <t>Candidate_32</t>
  </si>
  <si>
    <t>Candidate_33</t>
  </si>
  <si>
    <t>Candidate_34</t>
  </si>
  <si>
    <t>Candidate_35</t>
  </si>
  <si>
    <t>Candidate_36</t>
  </si>
  <si>
    <t>Candidate_37</t>
  </si>
  <si>
    <t>Candidate_38</t>
  </si>
  <si>
    <t>Candidate_39</t>
  </si>
  <si>
    <t>Candidate_40</t>
  </si>
  <si>
    <t>Candidate_41</t>
  </si>
  <si>
    <t>Candidate_42</t>
  </si>
  <si>
    <t>Candidate_43</t>
  </si>
  <si>
    <t>Candidate_44</t>
  </si>
  <si>
    <t>Candidate_45</t>
  </si>
  <si>
    <t>Candidate_46</t>
  </si>
  <si>
    <t>Candidate_47</t>
  </si>
  <si>
    <t>Candidate_48</t>
  </si>
  <si>
    <t>Candidate_49</t>
  </si>
  <si>
    <t>Candidate_50</t>
  </si>
  <si>
    <t>Candidate_51</t>
  </si>
  <si>
    <t>Candidate_52</t>
  </si>
  <si>
    <t>Candidate_53</t>
  </si>
  <si>
    <t>Candidate_54</t>
  </si>
  <si>
    <t>Candidate_55</t>
  </si>
  <si>
    <t>Candidate_56</t>
  </si>
  <si>
    <t>Candidate_57</t>
  </si>
  <si>
    <t>Candidate_58</t>
  </si>
  <si>
    <t>Candidate_59</t>
  </si>
  <si>
    <t>Candidate_60</t>
  </si>
  <si>
    <t>Candidate_61</t>
  </si>
  <si>
    <t>Candidate_62</t>
  </si>
  <si>
    <t>Candidate_63</t>
  </si>
  <si>
    <t>Candidate_64</t>
  </si>
  <si>
    <t>Candidate_65</t>
  </si>
  <si>
    <t>Candidate_66</t>
  </si>
  <si>
    <t>Candidate_67</t>
  </si>
  <si>
    <t>Candidate_68</t>
  </si>
  <si>
    <t>Candidate_69</t>
  </si>
  <si>
    <t>Candidate_70</t>
  </si>
  <si>
    <t>Candidate_71</t>
  </si>
  <si>
    <t>Candidate_72</t>
  </si>
  <si>
    <t>Candidate_73</t>
  </si>
  <si>
    <t>Candidate_74</t>
  </si>
  <si>
    <t>Candidate_75</t>
  </si>
  <si>
    <t>Candidate_76</t>
  </si>
  <si>
    <t>Candidate_77</t>
  </si>
  <si>
    <t>Candidate_78</t>
  </si>
  <si>
    <t>Candidate_79</t>
  </si>
  <si>
    <t>Candidate_80</t>
  </si>
  <si>
    <t>Candidate_81</t>
  </si>
  <si>
    <t>Candidate_82</t>
  </si>
  <si>
    <t>Candidate_83</t>
  </si>
  <si>
    <t>Candidate_84</t>
  </si>
  <si>
    <t>Candidate_85</t>
  </si>
  <si>
    <t>Candidate_86</t>
  </si>
  <si>
    <t>Candidate_87</t>
  </si>
  <si>
    <t>Candidate_88</t>
  </si>
  <si>
    <t>Candidate_89</t>
  </si>
  <si>
    <t>Candidate_90</t>
  </si>
  <si>
    <t>Candidate_91</t>
  </si>
  <si>
    <t>Candidate_92</t>
  </si>
  <si>
    <t>Candidate_93</t>
  </si>
  <si>
    <t>Candidate_94</t>
  </si>
  <si>
    <t>Candidate_95</t>
  </si>
  <si>
    <t>Candidate_96</t>
  </si>
  <si>
    <t>Candidate_97</t>
  </si>
  <si>
    <t>Candidate_98</t>
  </si>
  <si>
    <t>Candidate_99</t>
  </si>
  <si>
    <t>Candidate_100</t>
  </si>
  <si>
    <t>Candidate_101</t>
  </si>
  <si>
    <t>Candidate_102</t>
  </si>
  <si>
    <t>Candidate_103</t>
  </si>
  <si>
    <t>Candidate_104</t>
  </si>
  <si>
    <t>Candidate_105</t>
  </si>
  <si>
    <t>Candidate_106</t>
  </si>
  <si>
    <t>Candidate_107</t>
  </si>
  <si>
    <t>Candidate_108</t>
  </si>
  <si>
    <t>Candidate_109</t>
  </si>
  <si>
    <t>Candidate_110</t>
  </si>
  <si>
    <t>Candidate_111</t>
  </si>
  <si>
    <t>Candidate_112</t>
  </si>
  <si>
    <t>Candidate_113</t>
  </si>
  <si>
    <t>Candidate_114</t>
  </si>
  <si>
    <t>Candidate_115</t>
  </si>
  <si>
    <t>Candidate_116</t>
  </si>
  <si>
    <t>Candidate_117</t>
  </si>
  <si>
    <t>Candidate_118</t>
  </si>
  <si>
    <t>Candidate_119</t>
  </si>
  <si>
    <t>Candidate_120</t>
  </si>
  <si>
    <t>Candidate_121</t>
  </si>
  <si>
    <t>Candidate_122</t>
  </si>
  <si>
    <t>Candidate_123</t>
  </si>
  <si>
    <t>Candidate_124</t>
  </si>
  <si>
    <t>Candidate_125</t>
  </si>
  <si>
    <t>Candidate_126</t>
  </si>
  <si>
    <t>Candidate_127</t>
  </si>
  <si>
    <t>Candidate_128</t>
  </si>
  <si>
    <t>Candidate_129</t>
  </si>
  <si>
    <t>Candidate_130</t>
  </si>
  <si>
    <t>Candidate_131</t>
  </si>
  <si>
    <t>Candidate_132</t>
  </si>
  <si>
    <t>Candidate_133</t>
  </si>
  <si>
    <t>Candidate_134</t>
  </si>
  <si>
    <t>Candidate_135</t>
  </si>
  <si>
    <t>Candidate_136</t>
  </si>
  <si>
    <t>Candidate_137</t>
  </si>
  <si>
    <t>Candidate_138</t>
  </si>
  <si>
    <t>Candidate_139</t>
  </si>
  <si>
    <t>Candidate_140</t>
  </si>
  <si>
    <t>Candidate_141</t>
  </si>
  <si>
    <t>Candidate_142</t>
  </si>
  <si>
    <t>Candidate_143</t>
  </si>
  <si>
    <t>Candidate_144</t>
  </si>
  <si>
    <t>Candidate_145</t>
  </si>
  <si>
    <t>Candidate_146</t>
  </si>
  <si>
    <t>Candidate_147</t>
  </si>
  <si>
    <t>Candidate_148</t>
  </si>
  <si>
    <t>Candidate_149</t>
  </si>
  <si>
    <t>Candidate_150</t>
  </si>
  <si>
    <t>Candidate_151</t>
  </si>
  <si>
    <t>Candidate_152</t>
  </si>
  <si>
    <t>Candidate_153</t>
  </si>
  <si>
    <t>Candidate_154</t>
  </si>
  <si>
    <t>Candidate_155</t>
  </si>
  <si>
    <t>Candidate_156</t>
  </si>
  <si>
    <t>Candidate_157</t>
  </si>
  <si>
    <t>Candidate_158</t>
  </si>
  <si>
    <t>Candidate_159</t>
  </si>
  <si>
    <t>Candidate_160</t>
  </si>
  <si>
    <t>Candidate_161</t>
  </si>
  <si>
    <t>Candidate_162</t>
  </si>
  <si>
    <t>Candidate_163</t>
  </si>
  <si>
    <t>Candidate_164</t>
  </si>
  <si>
    <t>Candidate_165</t>
  </si>
  <si>
    <t>Candidate_166</t>
  </si>
  <si>
    <t>Candidate_167</t>
  </si>
  <si>
    <t>Candidate_168</t>
  </si>
  <si>
    <t>Candidate_169</t>
  </si>
  <si>
    <t>Candidate_170</t>
  </si>
  <si>
    <t>Candidate_171</t>
  </si>
  <si>
    <t>Candidate_172</t>
  </si>
  <si>
    <t>Candidate_173</t>
  </si>
  <si>
    <t>Candidate_174</t>
  </si>
  <si>
    <t>Candidate_175</t>
  </si>
  <si>
    <t>Candidate_176</t>
  </si>
  <si>
    <t>Candidate_177</t>
  </si>
  <si>
    <t>Candidate_178</t>
  </si>
  <si>
    <t>Candidate_179</t>
  </si>
  <si>
    <t>Candidate_180</t>
  </si>
  <si>
    <t>Candidate_181</t>
  </si>
  <si>
    <t>Candidate_182</t>
  </si>
  <si>
    <t>Candidate_183</t>
  </si>
  <si>
    <t>Candidate_184</t>
  </si>
  <si>
    <t>Candidate_185</t>
  </si>
  <si>
    <t>Candidate_186</t>
  </si>
  <si>
    <t>Candidate_187</t>
  </si>
  <si>
    <t>Candidate_188</t>
  </si>
  <si>
    <t>Candidate_189</t>
  </si>
  <si>
    <t>Candidate_190</t>
  </si>
  <si>
    <t>Candidate_191</t>
  </si>
  <si>
    <t>Candidate_192</t>
  </si>
  <si>
    <t>Candidate_193</t>
  </si>
  <si>
    <t>Candidate_194</t>
  </si>
  <si>
    <t>Candidate_195</t>
  </si>
  <si>
    <t>Candidate_196</t>
  </si>
  <si>
    <t>Candidate_197</t>
  </si>
  <si>
    <t>Candidate_198</t>
  </si>
  <si>
    <t>Candidate_199</t>
  </si>
  <si>
    <t>Candidate_200</t>
  </si>
  <si>
    <t>Candidate_201</t>
  </si>
  <si>
    <t>Candidate_202</t>
  </si>
  <si>
    <t>Candidate_203</t>
  </si>
  <si>
    <t>Candidate_204</t>
  </si>
  <si>
    <t>Candidate_205</t>
  </si>
  <si>
    <t>Candidate_206</t>
  </si>
  <si>
    <t>Candidate_207</t>
  </si>
  <si>
    <t>Candidate_208</t>
  </si>
  <si>
    <t>Candidate_209</t>
  </si>
  <si>
    <t>Candidate_210</t>
  </si>
  <si>
    <t>Candidate_211</t>
  </si>
  <si>
    <t>Candidate_212</t>
  </si>
  <si>
    <t>Candidate_213</t>
  </si>
  <si>
    <t>Candidate_214</t>
  </si>
  <si>
    <t>Candidate_215</t>
  </si>
  <si>
    <t>Candidate_216</t>
  </si>
  <si>
    <t>Candidate_217</t>
  </si>
  <si>
    <t>Candidate_218</t>
  </si>
  <si>
    <t>Candidate_219</t>
  </si>
  <si>
    <t>Candidate_220</t>
  </si>
  <si>
    <t>Candidate_221</t>
  </si>
  <si>
    <t>Candidate_222</t>
  </si>
  <si>
    <t>Candidate_223</t>
  </si>
  <si>
    <t>Candidate_224</t>
  </si>
  <si>
    <t>Candidate_225</t>
  </si>
  <si>
    <t>Candidate_226</t>
  </si>
  <si>
    <t>Candidate_227</t>
  </si>
  <si>
    <t>Candidate_228</t>
  </si>
  <si>
    <t>Candidate_229</t>
  </si>
  <si>
    <t>Candidate_230</t>
  </si>
  <si>
    <t>Candidate_231</t>
  </si>
  <si>
    <t>Candidate_232</t>
  </si>
  <si>
    <t>Candidate_233</t>
  </si>
  <si>
    <t>Candidate_234</t>
  </si>
  <si>
    <t>Candidate_235</t>
  </si>
  <si>
    <t>Candidate_236</t>
  </si>
  <si>
    <t>Candidate_237</t>
  </si>
  <si>
    <t>Candidate_238</t>
  </si>
  <si>
    <t>Candidate_239</t>
  </si>
  <si>
    <t>Candidate_240</t>
  </si>
  <si>
    <t>Candidate_241</t>
  </si>
  <si>
    <t>Candidate_242</t>
  </si>
  <si>
    <t>Candidate_243</t>
  </si>
  <si>
    <t>Candidate_244</t>
  </si>
  <si>
    <t>Candidate_245</t>
  </si>
  <si>
    <t>Candidate_246</t>
  </si>
  <si>
    <t>Candidate_247</t>
  </si>
  <si>
    <t>Candidate_248</t>
  </si>
  <si>
    <t>Candidate_249</t>
  </si>
  <si>
    <t>Candidate_250</t>
  </si>
  <si>
    <t>Candidate_251</t>
  </si>
  <si>
    <t>Candidate_252</t>
  </si>
  <si>
    <t>Candidate_253</t>
  </si>
  <si>
    <t>Candidate_254</t>
  </si>
  <si>
    <t>Candidate_255</t>
  </si>
  <si>
    <t>Candidate_256</t>
  </si>
  <si>
    <t>Candidate_257</t>
  </si>
  <si>
    <t>Candidate_258</t>
  </si>
  <si>
    <t>Candidate_259</t>
  </si>
  <si>
    <t>Candidate_260</t>
  </si>
  <si>
    <t>Candidate_261</t>
  </si>
  <si>
    <t>Candidate_262</t>
  </si>
  <si>
    <t>Candidate_263</t>
  </si>
  <si>
    <t>Candidate_264</t>
  </si>
  <si>
    <t>Candidate_265</t>
  </si>
  <si>
    <t>Candidate_266</t>
  </si>
  <si>
    <t>Candidate_267</t>
  </si>
  <si>
    <t>Candidate_268</t>
  </si>
  <si>
    <t>Candidate_269</t>
  </si>
  <si>
    <t>Candidate_270</t>
  </si>
  <si>
    <t>Candidate_271</t>
  </si>
  <si>
    <t>Candidate_272</t>
  </si>
  <si>
    <t>Candidate_273</t>
  </si>
  <si>
    <t>Candidate_274</t>
  </si>
  <si>
    <t>Candidate_275</t>
  </si>
  <si>
    <t>Candidate_276</t>
  </si>
  <si>
    <t>Candidate_277</t>
  </si>
  <si>
    <t>Candidate_278</t>
  </si>
  <si>
    <t>Candidate_279</t>
  </si>
  <si>
    <t>Candidate_280</t>
  </si>
  <si>
    <t>Candidate_281</t>
  </si>
  <si>
    <t>Candidate_282</t>
  </si>
  <si>
    <t>Candidate_283</t>
  </si>
  <si>
    <t>Candidate_284</t>
  </si>
  <si>
    <t>Candidate_285</t>
  </si>
  <si>
    <t>Candidate_286</t>
  </si>
  <si>
    <t>Candidate_287</t>
  </si>
  <si>
    <t>Candidate_288</t>
  </si>
  <si>
    <t>Candidate_289</t>
  </si>
  <si>
    <t>Candidate_290</t>
  </si>
  <si>
    <t>Candidate_291</t>
  </si>
  <si>
    <t>Candidate_292</t>
  </si>
  <si>
    <t>Candidate_293</t>
  </si>
  <si>
    <t>Candidate_294</t>
  </si>
  <si>
    <t>Candidate_295</t>
  </si>
  <si>
    <t>Candidate_296</t>
  </si>
  <si>
    <t>Candidate_297</t>
  </si>
  <si>
    <t>Candidate_298</t>
  </si>
  <si>
    <t>Candidate_299</t>
  </si>
  <si>
    <t>Candidate_300</t>
  </si>
  <si>
    <t>Candidate_301</t>
  </si>
  <si>
    <t>Candidate_302</t>
  </si>
  <si>
    <t>Candidate_303</t>
  </si>
  <si>
    <t>Candidate_304</t>
  </si>
  <si>
    <t>Candidate_305</t>
  </si>
  <si>
    <t>Candidate_306</t>
  </si>
  <si>
    <t>Candidate_307</t>
  </si>
  <si>
    <t>Candidate_308</t>
  </si>
  <si>
    <t>Candidate_309</t>
  </si>
  <si>
    <t>Candidate_310</t>
  </si>
  <si>
    <t>Candidate_311</t>
  </si>
  <si>
    <t>Candidate_312</t>
  </si>
  <si>
    <t>Candidate_313</t>
  </si>
  <si>
    <t>Candidate_314</t>
  </si>
  <si>
    <t>Candidate_315</t>
  </si>
  <si>
    <t>Candidate_316</t>
  </si>
  <si>
    <t>Candidate_317</t>
  </si>
  <si>
    <t>Candidate_318</t>
  </si>
  <si>
    <t>Candidate_319</t>
  </si>
  <si>
    <t>Candidate_320</t>
  </si>
  <si>
    <t>Candidate_321</t>
  </si>
  <si>
    <t>Candidate_322</t>
  </si>
  <si>
    <t>Candidate_323</t>
  </si>
  <si>
    <t>Candidate_324</t>
  </si>
  <si>
    <t>Candidate_325</t>
  </si>
  <si>
    <t>Candidate_326</t>
  </si>
  <si>
    <t>Candidate_327</t>
  </si>
  <si>
    <t>Candidate_328</t>
  </si>
  <si>
    <t>Candidate_329</t>
  </si>
  <si>
    <t>Candidate_330</t>
  </si>
  <si>
    <t>Candidate_331</t>
  </si>
  <si>
    <t>Candidate_332</t>
  </si>
  <si>
    <t>Candidate_333</t>
  </si>
  <si>
    <t>Candidate_334</t>
  </si>
  <si>
    <t>Candidate_335</t>
  </si>
  <si>
    <t>Candidate_336</t>
  </si>
  <si>
    <t>Candidate_337</t>
  </si>
  <si>
    <t>Candidate_338</t>
  </si>
  <si>
    <t>Candidate_339</t>
  </si>
  <si>
    <t>Candidate_340</t>
  </si>
  <si>
    <t>Candidate_341</t>
  </si>
  <si>
    <t>Candidate_342</t>
  </si>
  <si>
    <t>Candidate_343</t>
  </si>
  <si>
    <t>Candidate_344</t>
  </si>
  <si>
    <t>Candidate_345</t>
  </si>
  <si>
    <t>Candidate_346</t>
  </si>
  <si>
    <t>Candidate_347</t>
  </si>
  <si>
    <t>Candidate_348</t>
  </si>
  <si>
    <t>Candidate_349</t>
  </si>
  <si>
    <t>Candidate_350</t>
  </si>
  <si>
    <t>Candidate_351</t>
  </si>
  <si>
    <t>Candidate_352</t>
  </si>
  <si>
    <t>Candidate_353</t>
  </si>
  <si>
    <t>Candidate_354</t>
  </si>
  <si>
    <t>Candidate_355</t>
  </si>
  <si>
    <t>Candidate_356</t>
  </si>
  <si>
    <t>Candidate_357</t>
  </si>
  <si>
    <t>Candidate_358</t>
  </si>
  <si>
    <t>Candidate_359</t>
  </si>
  <si>
    <t>Candidate_360</t>
  </si>
  <si>
    <t>Candidate_361</t>
  </si>
  <si>
    <t>Candidate_362</t>
  </si>
  <si>
    <t>Candidate_363</t>
  </si>
  <si>
    <t>Candidate_364</t>
  </si>
  <si>
    <t>Candidate_365</t>
  </si>
  <si>
    <t>Candidate_366</t>
  </si>
  <si>
    <t>Candidate_367</t>
  </si>
  <si>
    <t>Candidate_368</t>
  </si>
  <si>
    <t>Candidate_369</t>
  </si>
  <si>
    <t>Candidate_370</t>
  </si>
  <si>
    <t>Candidate_371</t>
  </si>
  <si>
    <t>Candidate_372</t>
  </si>
  <si>
    <t>Candidate_373</t>
  </si>
  <si>
    <t>Candidate_374</t>
  </si>
  <si>
    <t>Candidate_375</t>
  </si>
  <si>
    <t>Candidate_376</t>
  </si>
  <si>
    <t>Candidate_377</t>
  </si>
  <si>
    <t>Candidate_378</t>
  </si>
  <si>
    <t>Candidate_379</t>
  </si>
  <si>
    <t>Candidate_380</t>
  </si>
  <si>
    <t>Candidate_381</t>
  </si>
  <si>
    <t>Candidate_382</t>
  </si>
  <si>
    <t>Candidate_383</t>
  </si>
  <si>
    <t>Candidate_384</t>
  </si>
  <si>
    <t>Candidate_385</t>
  </si>
  <si>
    <t>Candidate_386</t>
  </si>
  <si>
    <t>Candidate_387</t>
  </si>
  <si>
    <t>Candidate_388</t>
  </si>
  <si>
    <t>Candidate_389</t>
  </si>
  <si>
    <t>Candidate_390</t>
  </si>
  <si>
    <t>Candidate_391</t>
  </si>
  <si>
    <t>Candidate_392</t>
  </si>
  <si>
    <t>Candidate_393</t>
  </si>
  <si>
    <t>Candidate_394</t>
  </si>
  <si>
    <t>Candidate_395</t>
  </si>
  <si>
    <t>Candidate_396</t>
  </si>
  <si>
    <t>Candidate_397</t>
  </si>
  <si>
    <t>Candidate_398</t>
  </si>
  <si>
    <t>Candidate_399</t>
  </si>
  <si>
    <t>Candidate_400</t>
  </si>
  <si>
    <t>Candidate_401</t>
  </si>
  <si>
    <t>Candidate_402</t>
  </si>
  <si>
    <t>Candidate_403</t>
  </si>
  <si>
    <t>Candidate_404</t>
  </si>
  <si>
    <t>Candidate_405</t>
  </si>
  <si>
    <t>Candidate_406</t>
  </si>
  <si>
    <t>Candidate_407</t>
  </si>
  <si>
    <t>Candidate_408</t>
  </si>
  <si>
    <t>Candidate_409</t>
  </si>
  <si>
    <t>Candidate_410</t>
  </si>
  <si>
    <t>Candidate_411</t>
  </si>
  <si>
    <t>Candidate_412</t>
  </si>
  <si>
    <t>Candidate_413</t>
  </si>
  <si>
    <t>Candidate_414</t>
  </si>
  <si>
    <t>Candidate_415</t>
  </si>
  <si>
    <t>Candidate_416</t>
  </si>
  <si>
    <t>Candidate_417</t>
  </si>
  <si>
    <t>Candidate_418</t>
  </si>
  <si>
    <t>Candidate_419</t>
  </si>
  <si>
    <t>Candidate_420</t>
  </si>
  <si>
    <t>Candidate_421</t>
  </si>
  <si>
    <t>Candidate_422</t>
  </si>
  <si>
    <t>Candidate_423</t>
  </si>
  <si>
    <t>Candidate_424</t>
  </si>
  <si>
    <t>Candidate_425</t>
  </si>
  <si>
    <t>Candidate_426</t>
  </si>
  <si>
    <t>Candidate_427</t>
  </si>
  <si>
    <t>Candidate_428</t>
  </si>
  <si>
    <t>Candidate_429</t>
  </si>
  <si>
    <t>Candidate_430</t>
  </si>
  <si>
    <t>Candidate_431</t>
  </si>
  <si>
    <t>Candidate_432</t>
  </si>
  <si>
    <t>Candidate_433</t>
  </si>
  <si>
    <t>Candidate_434</t>
  </si>
  <si>
    <t>Candidate_435</t>
  </si>
  <si>
    <t>Candidate_436</t>
  </si>
  <si>
    <t>Candidate_437</t>
  </si>
  <si>
    <t>Candidate_438</t>
  </si>
  <si>
    <t>Candidate_439</t>
  </si>
  <si>
    <t>Candidate_440</t>
  </si>
  <si>
    <t>Candidate_441</t>
  </si>
  <si>
    <t>Candidate_442</t>
  </si>
  <si>
    <t>Candidate_443</t>
  </si>
  <si>
    <t>Candidate_444</t>
  </si>
  <si>
    <t>Candidate_445</t>
  </si>
  <si>
    <t>Candidate_446</t>
  </si>
  <si>
    <t>Candidate_447</t>
  </si>
  <si>
    <t>Candidate_448</t>
  </si>
  <si>
    <t>Candidate_449</t>
  </si>
  <si>
    <t>Candidate_450</t>
  </si>
  <si>
    <t>Candidate_451</t>
  </si>
  <si>
    <t>Candidate_452</t>
  </si>
  <si>
    <t>Candidate_453</t>
  </si>
  <si>
    <t>Candidate_454</t>
  </si>
  <si>
    <t>Candidate_455</t>
  </si>
  <si>
    <t>Candidate_456</t>
  </si>
  <si>
    <t>Candidate_457</t>
  </si>
  <si>
    <t>Candidate_458</t>
  </si>
  <si>
    <t>Candidate_459</t>
  </si>
  <si>
    <t>Candidate_460</t>
  </si>
  <si>
    <t>Candidate_461</t>
  </si>
  <si>
    <t>Candidate_462</t>
  </si>
  <si>
    <t>Candidate_463</t>
  </si>
  <si>
    <t>Candidate_464</t>
  </si>
  <si>
    <t>Candidate_465</t>
  </si>
  <si>
    <t>Candidate_466</t>
  </si>
  <si>
    <t>Candidate_467</t>
  </si>
  <si>
    <t>Candidate_468</t>
  </si>
  <si>
    <t>Candidate_469</t>
  </si>
  <si>
    <t>Candidate_470</t>
  </si>
  <si>
    <t>Candidate_471</t>
  </si>
  <si>
    <t>Candidate_472</t>
  </si>
  <si>
    <t>Candidate_473</t>
  </si>
  <si>
    <t>Candidate_474</t>
  </si>
  <si>
    <t>Candidate_475</t>
  </si>
  <si>
    <t>Candidate_476</t>
  </si>
  <si>
    <t>Candidate_477</t>
  </si>
  <si>
    <t>Candidate_478</t>
  </si>
  <si>
    <t>Candidate_479</t>
  </si>
  <si>
    <t>Candidate_480</t>
  </si>
  <si>
    <t>Candidate_481</t>
  </si>
  <si>
    <t>Candidate_482</t>
  </si>
  <si>
    <t>Candidate_483</t>
  </si>
  <si>
    <t>Candidate_484</t>
  </si>
  <si>
    <t>Candidate_485</t>
  </si>
  <si>
    <t>Candidate_486</t>
  </si>
  <si>
    <t>Candidate_487</t>
  </si>
  <si>
    <t>Candidate_488</t>
  </si>
  <si>
    <t>Candidate_489</t>
  </si>
  <si>
    <t>Candidate_490</t>
  </si>
  <si>
    <t>Candidate_491</t>
  </si>
  <si>
    <t>Candidate_492</t>
  </si>
  <si>
    <t>Candidate_493</t>
  </si>
  <si>
    <t>Candidate_494</t>
  </si>
  <si>
    <t>Candidate_495</t>
  </si>
  <si>
    <t>Candidate_496</t>
  </si>
  <si>
    <t>Candidate_497</t>
  </si>
  <si>
    <t>Candidate_498</t>
  </si>
  <si>
    <t>Candidate_499</t>
  </si>
  <si>
    <t>Candidate_500</t>
  </si>
  <si>
    <t>total hires</t>
  </si>
  <si>
    <t>total applicants</t>
  </si>
  <si>
    <t>offer acceptance rate</t>
  </si>
  <si>
    <t>offers</t>
  </si>
  <si>
    <t xml:space="preserve">Time to Hire </t>
  </si>
  <si>
    <t>Avg Time to hire</t>
  </si>
  <si>
    <t>(blank)</t>
  </si>
  <si>
    <t>Grand Total</t>
  </si>
  <si>
    <t>Count of candidate_id</t>
  </si>
  <si>
    <t>Hire month</t>
  </si>
  <si>
    <t>Apr-2025</t>
  </si>
  <si>
    <t>Aug-2025</t>
  </si>
  <si>
    <t>Feb-2025</t>
  </si>
  <si>
    <t>Jul-2025</t>
  </si>
  <si>
    <t>Jun-2025</t>
  </si>
  <si>
    <t>Mar-2025</t>
  </si>
  <si>
    <t>May-2025</t>
  </si>
  <si>
    <t>Nov-2025</t>
  </si>
  <si>
    <t>Oct-2025</t>
  </si>
  <si>
    <t>Sep-2025</t>
  </si>
  <si>
    <t xml:space="preserve">Average of Time to Hire </t>
  </si>
  <si>
    <t>Recruitment Analytics Dashboard</t>
  </si>
  <si>
    <t>Key Recruitment Metrics</t>
  </si>
  <si>
    <t>KPI</t>
  </si>
  <si>
    <t>Value</t>
  </si>
  <si>
    <t>Total Candidates</t>
  </si>
  <si>
    <t>Total Hires</t>
  </si>
  <si>
    <t>Offer Acceptance Rate</t>
  </si>
  <si>
    <t>Avg Time to Hire</t>
  </si>
  <si>
    <t>Total Offers</t>
  </si>
  <si>
    <r>
      <rPr>
        <b/>
        <u/>
        <sz val="28"/>
        <color theme="1"/>
        <rFont val="Aptos Narrow (Body)"/>
      </rPr>
      <t>Key Insights</t>
    </r>
    <r>
      <rPr>
        <b/>
        <sz val="20"/>
        <color theme="1"/>
        <rFont val="Aptos Narrow"/>
        <scheme val="minor"/>
      </rPr>
      <t xml:space="preserve">
• 500 candidates applied, resulting in 68 successful hires (13.6% conversion)
• Average time-to-hire is 37 days, indicating an efficient hiring cycle
• LinkedIn and Job Boards generated the highest number of hires (17 each)
• Operations and Engineering departments show the highest hiring demand
• Offer acceptance rate is ~51%, suggesting room for improvement in offer conversion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</si>
</sst>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20"/>
      <color theme="1"/>
      <name val="Aptos Narrow"/>
      <scheme val="minor"/>
    </font>
    <font>
      <b/>
      <u/>
      <sz val="24"/>
      <color theme="1"/>
      <name val="Aptos Narrow (Body)"/>
    </font>
    <font>
      <b/>
      <sz val="14"/>
      <color theme="1"/>
      <name val="Aptos Narrow (Body)"/>
    </font>
    <font>
      <b/>
      <u/>
      <sz val="28"/>
      <color theme="1"/>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18" fillId="0" borderId="0" xfId="0" applyFont="1"/>
    <xf numFmtId="9" fontId="0" fillId="0" borderId="0" xfId="1"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19" fillId="0" borderId="0" xfId="0" applyFont="1" applyAlignment="1">
      <alignment vertical="center"/>
    </xf>
    <xf numFmtId="0" fontId="16" fillId="0" borderId="0" xfId="0" applyFont="1" applyAlignment="1">
      <alignment horizontal="center"/>
    </xf>
    <xf numFmtId="9" fontId="0" fillId="0" borderId="0" xfId="0" applyNumberFormat="1" applyAlignment="1">
      <alignment horizontal="center"/>
    </xf>
    <xf numFmtId="1" fontId="0" fillId="0" borderId="0" xfId="0" applyNumberFormat="1" applyAlignment="1">
      <alignment horizontal="center"/>
    </xf>
    <xf numFmtId="0" fontId="20" fillId="0" borderId="0" xfId="0" applyFont="1" applyAlignment="1">
      <alignment horizontal="center" vertical="center"/>
    </xf>
    <xf numFmtId="0" fontId="19" fillId="0" borderId="0" xfId="0" applyFont="1" applyAlignment="1">
      <alignment horizontal="center" vertical="center"/>
    </xf>
    <xf numFmtId="0" fontId="21" fillId="33" borderId="0" xfId="0" applyFont="1" applyFill="1" applyAlignment="1">
      <alignment horizontal="center" vertical="center"/>
    </xf>
    <xf numFmtId="0" fontId="19" fillId="33" borderId="0" xfId="0" applyFont="1" applyFill="1" applyAlignment="1">
      <alignment horizontal="center" vertical="center"/>
    </xf>
    <xf numFmtId="0" fontId="19" fillId="0" borderId="0" xfId="0" applyFont="1" applyAlignment="1">
      <alignment vertical="center"/>
    </xf>
    <xf numFmtId="0" fontId="19" fillId="0" borderId="0" xfId="0" applyFont="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6">
    <dxf>
      <numFmt numFmtId="1" formatCode="0"/>
    </dxf>
    <dxf>
      <numFmt numFmtId="1" formatCode="0"/>
    </dxf>
    <dxf>
      <numFmt numFmtId="19" formatCode="dd/mm/yy"/>
    </dxf>
    <dxf>
      <numFmt numFmtId="19" formatCode="dd/mm/yy"/>
    </dxf>
    <dxf>
      <numFmt numFmtId="19" formatCode="dd/mm/yy"/>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Analytics Dashboard.xlsx]Recruitment Funnel!PivotTable1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RECRUITMENT FUNNEL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'Recruitment Funnel'!$B$3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'Recruitment Funnel'!$A$4:$A$12</c:f>
              <c:strCache>
                <c:ptCount val="8"/>
                <c:pt idx="0">
                  <c:v>Applied</c:v>
                </c:pt>
                <c:pt idx="1">
                  <c:v>Final Interview</c:v>
                </c:pt>
                <c:pt idx="2">
                  <c:v>Hired</c:v>
                </c:pt>
                <c:pt idx="3">
                  <c:v>Interview</c:v>
                </c:pt>
                <c:pt idx="4">
                  <c:v>Offer</c:v>
                </c:pt>
                <c:pt idx="5">
                  <c:v>Rejected</c:v>
                </c:pt>
                <c:pt idx="6">
                  <c:v>Screening</c:v>
                </c:pt>
                <c:pt idx="7">
                  <c:v>(blank)</c:v>
                </c:pt>
              </c:strCache>
            </c:strRef>
          </c:cat>
          <c:val>
            <c:numRef>
              <c:f>'Recruitment Funnel'!$B$4:$B$12</c:f>
              <c:numCache>
                <c:formatCode>General</c:formatCode>
                <c:ptCount val="8"/>
                <c:pt idx="0">
                  <c:v>67</c:v>
                </c:pt>
                <c:pt idx="1">
                  <c:v>69</c:v>
                </c:pt>
                <c:pt idx="2">
                  <c:v>68</c:v>
                </c:pt>
                <c:pt idx="3">
                  <c:v>73</c:v>
                </c:pt>
                <c:pt idx="4">
                  <c:v>66</c:v>
                </c:pt>
                <c:pt idx="5">
                  <c:v>71</c:v>
                </c:pt>
                <c:pt idx="6">
                  <c:v>86</c:v>
                </c:pt>
              </c:numCache>
            </c:numRef>
          </c:val>
          <c:extLst>
            <c:ext xmlns:c16="http://schemas.microsoft.com/office/drawing/2014/chart" uri="{C3380CC4-5D6E-409C-BE32-E72D297353CC}">
              <c16:uniqueId val="{00000000-62C2-3A49-91EF-FEBCD860D2AD}"/>
            </c:ext>
          </c:extLst>
        </c:ser>
        <c:dLbls>
          <c:dLblPos val="inEnd"/>
          <c:showLegendKey val="0"/>
          <c:showVal val="1"/>
          <c:showCatName val="0"/>
          <c:showSerName val="0"/>
          <c:showPercent val="0"/>
          <c:showBubbleSize val="0"/>
        </c:dLbls>
        <c:gapWidth val="65"/>
        <c:axId val="1140015551"/>
        <c:axId val="1140037311"/>
      </c:barChart>
      <c:catAx>
        <c:axId val="11400155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0037311"/>
        <c:crosses val="autoZero"/>
        <c:auto val="1"/>
        <c:lblAlgn val="ctr"/>
        <c:lblOffset val="100"/>
        <c:noMultiLvlLbl val="0"/>
      </c:catAx>
      <c:valAx>
        <c:axId val="1140037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00155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Analytics Dashboard.xlsx]Hiring By Source!PivotTable2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HIRES BY SOURCE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'Hiring By Source'!$B$3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'Hiring By Source'!$A$4:$A$9</c:f>
              <c:strCache>
                <c:ptCount val="5"/>
                <c:pt idx="0">
                  <c:v>Agency</c:v>
                </c:pt>
                <c:pt idx="1">
                  <c:v>Company Website</c:v>
                </c:pt>
                <c:pt idx="2">
                  <c:v>Job Board</c:v>
                </c:pt>
                <c:pt idx="3">
                  <c:v>LinkedIn</c:v>
                </c:pt>
                <c:pt idx="4">
                  <c:v>Referral</c:v>
                </c:pt>
              </c:strCache>
            </c:strRef>
          </c:cat>
          <c:val>
            <c:numRef>
              <c:f>'Hiring By Source'!$B$4:$B$9</c:f>
              <c:numCache>
                <c:formatCode>General</c:formatCode>
                <c:ptCount val="5"/>
                <c:pt idx="0">
                  <c:v>14</c:v>
                </c:pt>
                <c:pt idx="1">
                  <c:v>6</c:v>
                </c:pt>
                <c:pt idx="2">
                  <c:v>17</c:v>
                </c:pt>
                <c:pt idx="3">
                  <c:v>17</c:v>
                </c:pt>
                <c:pt idx="4">
                  <c:v>14</c:v>
                </c:pt>
              </c:numCache>
            </c:numRef>
          </c:val>
          <c:extLst>
            <c:ext xmlns:c16="http://schemas.microsoft.com/office/drawing/2014/chart" uri="{C3380CC4-5D6E-409C-BE32-E72D297353CC}">
              <c16:uniqueId val="{00000000-8C3C-5343-A4AB-88F14BD33ECB}"/>
            </c:ext>
          </c:extLst>
        </c:ser>
        <c:dLbls>
          <c:dLblPos val="inEnd"/>
          <c:showLegendKey val="0"/>
          <c:showVal val="1"/>
          <c:showCatName val="0"/>
          <c:showSerName val="0"/>
          <c:showPercent val="0"/>
          <c:showBubbleSize val="0"/>
        </c:dLbls>
        <c:gapWidth val="65"/>
        <c:axId val="1188258559"/>
        <c:axId val="1188252287"/>
      </c:barChart>
      <c:catAx>
        <c:axId val="1188258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8252287"/>
        <c:crosses val="autoZero"/>
        <c:auto val="1"/>
        <c:lblAlgn val="ctr"/>
        <c:lblOffset val="100"/>
        <c:noMultiLvlLbl val="0"/>
      </c:catAx>
      <c:valAx>
        <c:axId val="118825228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88258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Analytics Dashboard.xlsx]Hiring Trend Over time !PivotTable7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HIRING TREND OVER TIME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 Over time '!$B$3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'Hiring Trend Over time '!$A$4:$A$14</c:f>
              <c:strCache>
                <c:ptCount val="10"/>
                <c:pt idx="0">
                  <c:v>Apr-2025</c:v>
                </c:pt>
                <c:pt idx="1">
                  <c:v>Aug-2025</c:v>
                </c:pt>
                <c:pt idx="2">
                  <c:v>Feb-2025</c:v>
                </c:pt>
                <c:pt idx="3">
                  <c:v>Jul-2025</c:v>
                </c:pt>
                <c:pt idx="4">
                  <c:v>Jun-2025</c:v>
                </c:pt>
                <c:pt idx="5">
                  <c:v>Mar-2025</c:v>
                </c:pt>
                <c:pt idx="6">
                  <c:v>May-2025</c:v>
                </c:pt>
                <c:pt idx="7">
                  <c:v>Nov-2025</c:v>
                </c:pt>
                <c:pt idx="8">
                  <c:v>Oct-2025</c:v>
                </c:pt>
                <c:pt idx="9">
                  <c:v>Sep-2025</c:v>
                </c:pt>
              </c:strCache>
            </c:strRef>
          </c:cat>
          <c:val>
            <c:numRef>
              <c:f>'Hiring Trend Over time '!$B$4:$B$14</c:f>
              <c:numCache>
                <c:formatCode>General</c:formatCode>
                <c:ptCount val="10"/>
                <c:pt idx="0">
                  <c:v>6</c:v>
                </c:pt>
                <c:pt idx="1">
                  <c:v>6</c:v>
                </c:pt>
                <c:pt idx="2">
                  <c:v>9</c:v>
                </c:pt>
                <c:pt idx="3">
                  <c:v>7</c:v>
                </c:pt>
                <c:pt idx="4">
                  <c:v>3</c:v>
                </c:pt>
                <c:pt idx="5">
                  <c:v>9</c:v>
                </c:pt>
                <c:pt idx="6">
                  <c:v>7</c:v>
                </c:pt>
                <c:pt idx="7">
                  <c:v>2</c:v>
                </c:pt>
                <c:pt idx="8">
                  <c:v>9</c:v>
                </c:pt>
                <c:pt idx="9">
                  <c:v>10</c:v>
                </c:pt>
              </c:numCache>
            </c:numRef>
          </c:val>
          <c:smooth val="0"/>
          <c:extLst>
            <c:ext xmlns:c16="http://schemas.microsoft.com/office/drawing/2014/chart" uri="{C3380CC4-5D6E-409C-BE32-E72D297353CC}">
              <c16:uniqueId val="{00000000-F139-A846-A2B8-42BD2C7FA5C1}"/>
            </c:ext>
          </c:extLst>
        </c:ser>
        <c:dLbls>
          <c:dLblPos val="ctr"/>
          <c:showLegendKey val="0"/>
          <c:showVal val="1"/>
          <c:showCatName val="0"/>
          <c:showSerName val="0"/>
          <c:showPercent val="0"/>
          <c:showBubbleSize val="0"/>
        </c:dLbls>
        <c:marker val="1"/>
        <c:smooth val="0"/>
        <c:axId val="1188265279"/>
        <c:axId val="1068135551"/>
      </c:lineChart>
      <c:catAx>
        <c:axId val="11882652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8135551"/>
        <c:crosses val="autoZero"/>
        <c:auto val="1"/>
        <c:lblAlgn val="ctr"/>
        <c:lblOffset val="100"/>
        <c:noMultiLvlLbl val="0"/>
      </c:catAx>
      <c:valAx>
        <c:axId val="10681355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88265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 Analytics Dashboard.xlsx]Average Time-to-Hire by Source!PivotTable8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Time-to-Hire by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Time-to-Hire by Source'!$B$3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Time-to-Hire by Source'!$A$4:$A$9</c:f>
              <c:strCache>
                <c:ptCount val="5"/>
                <c:pt idx="0">
                  <c:v>Agency</c:v>
                </c:pt>
                <c:pt idx="1">
                  <c:v>Company Website</c:v>
                </c:pt>
                <c:pt idx="2">
                  <c:v>Job Board</c:v>
                </c:pt>
                <c:pt idx="3">
                  <c:v>LinkedIn</c:v>
                </c:pt>
                <c:pt idx="4">
                  <c:v>Referral</c:v>
                </c:pt>
              </c:strCache>
            </c:strRef>
          </c:cat>
          <c:val>
            <c:numRef>
              <c:f>'Average Time-to-Hire by Source'!$B$4:$B$9</c:f>
              <c:numCache>
                <c:formatCode>0</c:formatCode>
                <c:ptCount val="5"/>
                <c:pt idx="0">
                  <c:v>36</c:v>
                </c:pt>
                <c:pt idx="1">
                  <c:v>33.166666666666664</c:v>
                </c:pt>
                <c:pt idx="2">
                  <c:v>38.117647058823529</c:v>
                </c:pt>
                <c:pt idx="3">
                  <c:v>36.882352941176471</c:v>
                </c:pt>
                <c:pt idx="4">
                  <c:v>36.357142857142854</c:v>
                </c:pt>
              </c:numCache>
            </c:numRef>
          </c:val>
          <c:extLst>
            <c:ext xmlns:c16="http://schemas.microsoft.com/office/drawing/2014/chart" uri="{C3380CC4-5D6E-409C-BE32-E72D297353CC}">
              <c16:uniqueId val="{00000000-BBA6-4C47-870F-4CCACF46F90D}"/>
            </c:ext>
          </c:extLst>
        </c:ser>
        <c:dLbls>
          <c:showLegendKey val="0"/>
          <c:showVal val="0"/>
          <c:showCatName val="0"/>
          <c:showSerName val="0"/>
          <c:showPercent val="0"/>
          <c:showBubbleSize val="0"/>
        </c:dLbls>
        <c:gapWidth val="100"/>
        <c:overlap val="-24"/>
        <c:axId val="1191661951"/>
        <c:axId val="1191451199"/>
      </c:barChart>
      <c:catAx>
        <c:axId val="1191661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51199"/>
        <c:crosses val="autoZero"/>
        <c:auto val="1"/>
        <c:lblAlgn val="ctr"/>
        <c:lblOffset val="100"/>
        <c:noMultiLvlLbl val="0"/>
      </c:catAx>
      <c:valAx>
        <c:axId val="1191451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6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800100</xdr:colOff>
      <xdr:row>11</xdr:row>
      <xdr:rowOff>114300</xdr:rowOff>
    </xdr:from>
    <xdr:to>
      <xdr:col>11</xdr:col>
      <xdr:colOff>0</xdr:colOff>
      <xdr:row>35</xdr:row>
      <xdr:rowOff>101600</xdr:rowOff>
    </xdr:to>
    <xdr:graphicFrame macro="">
      <xdr:nvGraphicFramePr>
        <xdr:cNvPr id="2" name="Chart 1">
          <a:extLst>
            <a:ext uri="{FF2B5EF4-FFF2-40B4-BE49-F238E27FC236}">
              <a16:creationId xmlns:a16="http://schemas.microsoft.com/office/drawing/2014/main" id="{B02451B9-5037-8440-9F07-8F0D1C5F2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11</xdr:row>
      <xdr:rowOff>101600</xdr:rowOff>
    </xdr:from>
    <xdr:to>
      <xdr:col>20</xdr:col>
      <xdr:colOff>812800</xdr:colOff>
      <xdr:row>35</xdr:row>
      <xdr:rowOff>101600</xdr:rowOff>
    </xdr:to>
    <xdr:graphicFrame macro="">
      <xdr:nvGraphicFramePr>
        <xdr:cNvPr id="3" name="Chart 2">
          <a:extLst>
            <a:ext uri="{FF2B5EF4-FFF2-40B4-BE49-F238E27FC236}">
              <a16:creationId xmlns:a16="http://schemas.microsoft.com/office/drawing/2014/main" id="{5E9D522D-AD49-4E40-B9D9-FD4086C45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800100</xdr:colOff>
      <xdr:row>35</xdr:row>
      <xdr:rowOff>101600</xdr:rowOff>
    </xdr:from>
    <xdr:to>
      <xdr:col>11</xdr:col>
      <xdr:colOff>12700</xdr:colOff>
      <xdr:row>59</xdr:row>
      <xdr:rowOff>127000</xdr:rowOff>
    </xdr:to>
    <xdr:graphicFrame macro="">
      <xdr:nvGraphicFramePr>
        <xdr:cNvPr id="4" name="Chart 3">
          <a:extLst>
            <a:ext uri="{FF2B5EF4-FFF2-40B4-BE49-F238E27FC236}">
              <a16:creationId xmlns:a16="http://schemas.microsoft.com/office/drawing/2014/main" id="{2D75D1A4-F024-9D49-8384-89A48C79E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25400</xdr:colOff>
      <xdr:row>35</xdr:row>
      <xdr:rowOff>101600</xdr:rowOff>
    </xdr:from>
    <xdr:to>
      <xdr:col>21</xdr:col>
      <xdr:colOff>0</xdr:colOff>
      <xdr:row>59</xdr:row>
      <xdr:rowOff>152400</xdr:rowOff>
    </xdr:to>
    <xdr:graphicFrame macro="">
      <xdr:nvGraphicFramePr>
        <xdr:cNvPr id="5" name="Chart 4">
          <a:extLst>
            <a:ext uri="{FF2B5EF4-FFF2-40B4-BE49-F238E27FC236}">
              <a16:creationId xmlns:a16="http://schemas.microsoft.com/office/drawing/2014/main" id="{E7C8413E-14A1-294C-8BDF-054C29D66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12700</xdr:colOff>
      <xdr:row>3</xdr:row>
      <xdr:rowOff>12700</xdr:rowOff>
    </xdr:from>
    <xdr:to>
      <xdr:col>5</xdr:col>
      <xdr:colOff>190500</xdr:colOff>
      <xdr:row>10</xdr:row>
      <xdr:rowOff>231772</xdr:rowOff>
    </xdr:to>
    <mc:AlternateContent xmlns:mc="http://schemas.openxmlformats.org/markup-compatibility/2006" xmlns:a14="http://schemas.microsoft.com/office/drawing/2010/main">
      <mc:Choice Requires="a14">
        <xdr:graphicFrame macro="">
          <xdr:nvGraphicFramePr>
            <xdr:cNvPr id="10" name="current_stage">
              <a:extLst>
                <a:ext uri="{FF2B5EF4-FFF2-40B4-BE49-F238E27FC236}">
                  <a16:creationId xmlns:a16="http://schemas.microsoft.com/office/drawing/2014/main" id="{2941BFAF-C98E-754A-A538-BF93E1793520}"/>
                </a:ext>
              </a:extLst>
            </xdr:cNvPr>
            <xdr:cNvGraphicFramePr/>
          </xdr:nvGraphicFramePr>
          <xdr:xfrm>
            <a:off x="0" y="0"/>
            <a:ext cx="0" cy="0"/>
          </xdr:xfrm>
          <a:graphic>
            <a:graphicData uri="http://schemas.microsoft.com/office/drawing/2010/slicer">
              <sle:slicer xmlns:sle="http://schemas.microsoft.com/office/drawing/2010/slicer" name="current_stage"/>
            </a:graphicData>
          </a:graphic>
        </xdr:graphicFrame>
      </mc:Choice>
      <mc:Fallback xmlns="">
        <xdr:sp macro="" textlink="">
          <xdr:nvSpPr>
            <xdr:cNvPr id="0" name=""/>
            <xdr:cNvSpPr>
              <a:spLocks noTextEdit="1"/>
            </xdr:cNvSpPr>
          </xdr:nvSpPr>
          <xdr:spPr>
            <a:xfrm>
              <a:off x="3657600" y="9779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3</xdr:row>
      <xdr:rowOff>0</xdr:rowOff>
    </xdr:from>
    <xdr:to>
      <xdr:col>9</xdr:col>
      <xdr:colOff>520700</xdr:colOff>
      <xdr:row>10</xdr:row>
      <xdr:rowOff>219072</xdr:rowOff>
    </xdr:to>
    <mc:AlternateContent xmlns:mc="http://schemas.openxmlformats.org/markup-compatibility/2006" xmlns:a14="http://schemas.microsoft.com/office/drawing/2010/main">
      <mc:Choice Requires="a14">
        <xdr:graphicFrame macro="">
          <xdr:nvGraphicFramePr>
            <xdr:cNvPr id="12" name="Hire month">
              <a:extLst>
                <a:ext uri="{FF2B5EF4-FFF2-40B4-BE49-F238E27FC236}">
                  <a16:creationId xmlns:a16="http://schemas.microsoft.com/office/drawing/2014/main" id="{9C3727B3-80EF-D64F-8EDB-F298B35A2173}"/>
                </a:ext>
              </a:extLst>
            </xdr:cNvPr>
            <xdr:cNvGraphicFramePr/>
          </xdr:nvGraphicFramePr>
          <xdr:xfrm>
            <a:off x="0" y="0"/>
            <a:ext cx="0" cy="0"/>
          </xdr:xfrm>
          <a:graphic>
            <a:graphicData uri="http://schemas.microsoft.com/office/drawing/2010/slicer">
              <sle:slicer xmlns:sle="http://schemas.microsoft.com/office/drawing/2010/slicer" name="Hire month"/>
            </a:graphicData>
          </a:graphic>
        </xdr:graphicFrame>
      </mc:Choice>
      <mc:Fallback xmlns="">
        <xdr:sp macro="" textlink="">
          <xdr:nvSpPr>
            <xdr:cNvPr id="0" name=""/>
            <xdr:cNvSpPr>
              <a:spLocks noTextEdit="1"/>
            </xdr:cNvSpPr>
          </xdr:nvSpPr>
          <xdr:spPr>
            <a:xfrm>
              <a:off x="7289800" y="96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3</xdr:row>
      <xdr:rowOff>0</xdr:rowOff>
    </xdr:from>
    <xdr:to>
      <xdr:col>7</xdr:col>
      <xdr:colOff>368300</xdr:colOff>
      <xdr:row>10</xdr:row>
      <xdr:rowOff>219072</xdr:rowOff>
    </xdr:to>
    <mc:AlternateContent xmlns:mc="http://schemas.openxmlformats.org/markup-compatibility/2006" xmlns:a14="http://schemas.microsoft.com/office/drawing/2010/main">
      <mc:Choice Requires="a14">
        <xdr:graphicFrame macro="">
          <xdr:nvGraphicFramePr>
            <xdr:cNvPr id="13" name="source 1">
              <a:extLst>
                <a:ext uri="{FF2B5EF4-FFF2-40B4-BE49-F238E27FC236}">
                  <a16:creationId xmlns:a16="http://schemas.microsoft.com/office/drawing/2014/main" id="{0590FC15-6CAB-0947-AFFA-67DDC3C44B1A}"/>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5486400" y="96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723900</xdr:colOff>
      <xdr:row>2</xdr:row>
      <xdr:rowOff>12700</xdr:rowOff>
    </xdr:from>
    <xdr:to>
      <xdr:col>19</xdr:col>
      <xdr:colOff>266700</xdr:colOff>
      <xdr:row>60</xdr:row>
      <xdr:rowOff>25400</xdr:rowOff>
    </xdr:to>
    <xdr:sp macro="" textlink="">
      <xdr:nvSpPr>
        <xdr:cNvPr id="2" name="TextBox 1">
          <a:extLst>
            <a:ext uri="{FF2B5EF4-FFF2-40B4-BE49-F238E27FC236}">
              <a16:creationId xmlns:a16="http://schemas.microsoft.com/office/drawing/2014/main" id="{651A2D45-193C-E197-9405-ECA411AF4002}"/>
            </a:ext>
          </a:extLst>
        </xdr:cNvPr>
        <xdr:cNvSpPr txBox="1"/>
      </xdr:nvSpPr>
      <xdr:spPr>
        <a:xfrm>
          <a:off x="723900" y="419100"/>
          <a:ext cx="15227300" cy="117983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Key Insights </a:t>
          </a:r>
        </a:p>
        <a:p>
          <a:endParaRPr lang="en-IN" sz="2000" b="1"/>
        </a:p>
        <a:p>
          <a:r>
            <a:rPr lang="en-IN" sz="2000" b="1"/>
            <a:t>1️⃣ Hiring Funnel Efficiency</a:t>
          </a:r>
        </a:p>
        <a:p>
          <a:r>
            <a:rPr lang="en-IN" sz="2000"/>
            <a:t>Out of </a:t>
          </a:r>
          <a:r>
            <a:rPr lang="en-IN" sz="2000" b="1"/>
            <a:t>500 total candidates</a:t>
          </a:r>
          <a:r>
            <a:rPr lang="en-IN" sz="2000"/>
            <a:t>, the organization successfully hired </a:t>
          </a:r>
          <a:r>
            <a:rPr lang="en-IN" sz="2000" b="1"/>
            <a:t>68 candidates</a:t>
          </a:r>
          <a:r>
            <a:rPr lang="en-IN" sz="2000"/>
            <a:t>, indicating a </a:t>
          </a:r>
          <a:r>
            <a:rPr lang="en-IN" sz="2000" b="1"/>
            <a:t>13.6% overall hiring conversion rate</a:t>
          </a:r>
          <a:r>
            <a:rPr lang="en-IN" sz="2000"/>
            <a:t>. This suggests a competitive selection process with multiple screening stages to ensure candidate quality.</a:t>
          </a:r>
        </a:p>
        <a:p>
          <a:endParaRPr lang="en-IN" sz="2000"/>
        </a:p>
        <a:p>
          <a:r>
            <a:rPr lang="en-IN" sz="2000" b="1"/>
            <a:t>2️⃣ Offer Acceptance Rate</a:t>
          </a:r>
        </a:p>
        <a:p>
          <a:r>
            <a:rPr lang="en-IN" sz="2000"/>
            <a:t>A total of </a:t>
          </a:r>
          <a:r>
            <a:rPr lang="en-IN" sz="2000" b="1"/>
            <a:t>134 offers were extended</a:t>
          </a:r>
          <a:r>
            <a:rPr lang="en-IN" sz="2000"/>
            <a:t>, while </a:t>
          </a:r>
          <a:r>
            <a:rPr lang="en-IN" sz="2000" b="1"/>
            <a:t>68 candidates were hired</a:t>
          </a:r>
          <a:r>
            <a:rPr lang="en-IN" sz="2000"/>
            <a:t>, resulting in an </a:t>
          </a:r>
          <a:r>
            <a:rPr lang="en-IN" sz="2000" b="1"/>
            <a:t>offer acceptance rate of approximately 51%</a:t>
          </a:r>
          <a:r>
            <a:rPr lang="en-IN" sz="2000"/>
            <a:t>. This indicates that </a:t>
          </a:r>
          <a:r>
            <a:rPr lang="en-IN" sz="2000" b="1"/>
            <a:t>nearly half of the candidates declined offers</a:t>
          </a:r>
          <a:r>
            <a:rPr lang="en-IN" sz="2000"/>
            <a:t>, suggesting opportunities to improve compensation competitiveness, employer branding, or candidate engagement during the offer stage.</a:t>
          </a:r>
        </a:p>
        <a:p>
          <a:endParaRPr lang="en-IN" sz="2000"/>
        </a:p>
        <a:p>
          <a:r>
            <a:rPr lang="en-IN" sz="2000" b="1"/>
            <a:t>3️⃣ Source Effectiveness</a:t>
          </a:r>
        </a:p>
        <a:p>
          <a:r>
            <a:rPr lang="en-IN" sz="2000"/>
            <a:t>The most effective recruitment channels were:</a:t>
          </a:r>
        </a:p>
        <a:p>
          <a:r>
            <a:rPr lang="en-IN" sz="2000" b="1"/>
            <a:t>Job Boards – 17 hires</a:t>
          </a:r>
          <a:endParaRPr lang="en-IN" sz="2000"/>
        </a:p>
        <a:p>
          <a:r>
            <a:rPr lang="en-IN" sz="2000" b="1"/>
            <a:t>LinkedIn – 17 hires</a:t>
          </a:r>
          <a:endParaRPr lang="en-IN" sz="2000"/>
        </a:p>
        <a:p>
          <a:r>
            <a:rPr lang="en-IN" sz="2000" b="1"/>
            <a:t>Referrals – 14 hires</a:t>
          </a:r>
          <a:endParaRPr lang="en-IN" sz="2000"/>
        </a:p>
        <a:p>
          <a:r>
            <a:rPr lang="en-IN" sz="2000" b="1"/>
            <a:t>Recruitment Agencies – 14 hires</a:t>
          </a:r>
          <a:endParaRPr lang="en-IN" sz="2000"/>
        </a:p>
        <a:p>
          <a:r>
            <a:rPr lang="en-IN" sz="2000"/>
            <a:t>This suggests that </a:t>
          </a:r>
          <a:r>
            <a:rPr lang="en-IN" sz="2000" b="1"/>
            <a:t>online platforms and professional networks remain the most productive hiring channels</a:t>
          </a:r>
          <a:r>
            <a:rPr lang="en-IN" sz="2000"/>
            <a:t>, while </a:t>
          </a:r>
          <a:r>
            <a:rPr lang="en-IN" sz="2000" b="1"/>
            <a:t>employee referrals also contribute significantly to successful hires</a:t>
          </a:r>
          <a:r>
            <a:rPr lang="en-IN" sz="2000"/>
            <a:t>.</a:t>
          </a:r>
        </a:p>
        <a:p>
          <a:endParaRPr lang="en-IN" sz="2000"/>
        </a:p>
        <a:p>
          <a:r>
            <a:rPr lang="en-IN" sz="2000" b="1"/>
            <a:t>4️⃣ Hiring Speed (Time-to-Hire)</a:t>
          </a:r>
        </a:p>
        <a:p>
          <a:r>
            <a:rPr lang="en-IN" sz="2000"/>
            <a:t>The </a:t>
          </a:r>
          <a:r>
            <a:rPr lang="en-IN" sz="2000" b="1"/>
            <a:t>average time-to-hire is approximately 37 days</a:t>
          </a:r>
          <a:r>
            <a:rPr lang="en-IN" sz="2000"/>
            <a:t>, which is within the typical industry range of </a:t>
          </a:r>
          <a:r>
            <a:rPr lang="en-IN" sz="2000" b="1"/>
            <a:t>30–45 days</a:t>
          </a:r>
          <a:r>
            <a:rPr lang="en-IN" sz="2000"/>
            <a:t>. This indicates a relatively </a:t>
          </a:r>
          <a:r>
            <a:rPr lang="en-IN" sz="2000" b="1"/>
            <a:t>efficient recruitment process</a:t>
          </a:r>
          <a:r>
            <a:rPr lang="en-IN" sz="2000"/>
            <a:t>, though further optimization could help reduce hiring timelines for critical roles.</a:t>
          </a:r>
        </a:p>
        <a:p>
          <a:endParaRPr lang="en-IN" sz="2000"/>
        </a:p>
        <a:p>
          <a:r>
            <a:rPr lang="en-IN" sz="2000" b="1"/>
            <a:t>5️⃣ Department Hiring Demand</a:t>
          </a:r>
        </a:p>
        <a:p>
          <a:r>
            <a:rPr lang="en-IN" sz="2000"/>
            <a:t>The departments with the highest number of hires were:</a:t>
          </a:r>
        </a:p>
        <a:p>
          <a:r>
            <a:rPr lang="en-IN" sz="2000" b="1"/>
            <a:t>Operations – 14 hires</a:t>
          </a:r>
          <a:endParaRPr lang="en-IN" sz="2000"/>
        </a:p>
        <a:p>
          <a:r>
            <a:rPr lang="en-IN" sz="2000" b="1"/>
            <a:t>Engineering – 13 hires</a:t>
          </a:r>
          <a:endParaRPr lang="en-IN" sz="2000"/>
        </a:p>
        <a:p>
          <a:r>
            <a:rPr lang="en-IN" sz="2000" b="1"/>
            <a:t>HR – 11 hires</a:t>
          </a:r>
          <a:endParaRPr lang="en-IN" sz="2000"/>
        </a:p>
        <a:p>
          <a:r>
            <a:rPr lang="en-IN" sz="2000" b="1"/>
            <a:t>Sales – 10 hires</a:t>
          </a:r>
          <a:endParaRPr lang="en-IN" sz="2000"/>
        </a:p>
        <a:p>
          <a:r>
            <a:rPr lang="en-IN" sz="2000" b="1"/>
            <a:t>Marketing – 10 hires</a:t>
          </a:r>
          <a:endParaRPr lang="en-IN" sz="2000"/>
        </a:p>
        <a:p>
          <a:r>
            <a:rPr lang="en-IN" sz="2000"/>
            <a:t>This suggests that </a:t>
          </a:r>
          <a:r>
            <a:rPr lang="en-IN" sz="2000" b="1"/>
            <a:t>operational and technical roles drive the highest recruitment demand</a:t>
          </a:r>
          <a:r>
            <a:rPr lang="en-IN" sz="2000"/>
            <a:t>, highlighting areas where workforce expansion is most active.</a:t>
          </a:r>
        </a:p>
        <a:p>
          <a:endParaRPr lang="en-GB"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rsh Mehra" refreshedDate="46091.552520370373" createdVersion="8" refreshedVersion="8" minRefreshableVersion="3" recordCount="501" xr:uid="{CE43A690-6C15-074F-AC6D-3DC96551FD40}">
  <cacheSource type="worksheet">
    <worksheetSource ref="A1:R1048576" sheet="Recruitment_dashboard_dataset"/>
  </cacheSource>
  <cacheFields count="17">
    <cacheField name="candidate_id" numFmtId="0">
      <sharedItems containsString="0" containsBlank="1" containsNumber="1" containsInteger="1" minValue="1" maxValue="500"/>
    </cacheField>
    <cacheField name="candidate_name" numFmtId="0">
      <sharedItems containsBlank="1" count="501">
        <s v="Candidate_1"/>
        <s v="Candidate_2"/>
        <s v="Candidate_3"/>
        <s v="Candidate_4"/>
        <s v="Candidate_5"/>
        <s v="Candidate_6"/>
        <s v="Candidate_7"/>
        <s v="Candidate_8"/>
        <s v="Candidate_9"/>
        <s v="Candidate_10"/>
        <s v="Candidate_11"/>
        <s v="Candidate_12"/>
        <s v="Candidate_13"/>
        <s v="Candidate_14"/>
        <s v="Candidate_15"/>
        <s v="Candidate_16"/>
        <s v="Candidate_17"/>
        <s v="Candidate_18"/>
        <s v="Candidate_19"/>
        <s v="Candidate_20"/>
        <s v="Candidate_21"/>
        <s v="Candidate_22"/>
        <s v="Candidate_23"/>
        <s v="Candidate_24"/>
        <s v="Candidate_25"/>
        <s v="Candidate_26"/>
        <s v="Candidate_27"/>
        <s v="Candidate_28"/>
        <s v="Candidate_29"/>
        <s v="Candidate_30"/>
        <s v="Candidate_31"/>
        <s v="Candidate_32"/>
        <s v="Candidate_33"/>
        <s v="Candidate_34"/>
        <s v="Candidate_35"/>
        <s v="Candidate_36"/>
        <s v="Candidate_37"/>
        <s v="Candidate_38"/>
        <s v="Candidate_39"/>
        <s v="Candidate_40"/>
        <s v="Candidate_41"/>
        <s v="Candidate_42"/>
        <s v="Candidate_43"/>
        <s v="Candidate_44"/>
        <s v="Candidate_45"/>
        <s v="Candidate_46"/>
        <s v="Candidate_47"/>
        <s v="Candidate_48"/>
        <s v="Candidate_49"/>
        <s v="Candidate_50"/>
        <s v="Candidate_51"/>
        <s v="Candidate_52"/>
        <s v="Candidate_53"/>
        <s v="Candidate_54"/>
        <s v="Candidate_55"/>
        <s v="Candidate_56"/>
        <s v="Candidate_57"/>
        <s v="Candidate_58"/>
        <s v="Candidate_59"/>
        <s v="Candidate_60"/>
        <s v="Candidate_61"/>
        <s v="Candidate_62"/>
        <s v="Candidate_63"/>
        <s v="Candidate_64"/>
        <s v="Candidate_65"/>
        <s v="Candidate_66"/>
        <s v="Candidate_67"/>
        <s v="Candidate_68"/>
        <s v="Candidate_69"/>
        <s v="Candidate_70"/>
        <s v="Candidate_71"/>
        <s v="Candidate_72"/>
        <s v="Candidate_73"/>
        <s v="Candidate_74"/>
        <s v="Candidate_75"/>
        <s v="Candidate_76"/>
        <s v="Candidate_77"/>
        <s v="Candidate_78"/>
        <s v="Candidate_79"/>
        <s v="Candidate_80"/>
        <s v="Candidate_81"/>
        <s v="Candidate_82"/>
        <s v="Candidate_83"/>
        <s v="Candidate_84"/>
        <s v="Candidate_85"/>
        <s v="Candidate_86"/>
        <s v="Candidate_87"/>
        <s v="Candidate_88"/>
        <s v="Candidate_89"/>
        <s v="Candidate_90"/>
        <s v="Candidate_91"/>
        <s v="Candidate_92"/>
        <s v="Candidate_93"/>
        <s v="Candidate_94"/>
        <s v="Candidate_95"/>
        <s v="Candidate_96"/>
        <s v="Candidate_97"/>
        <s v="Candidate_98"/>
        <s v="Candidate_99"/>
        <s v="Candidate_100"/>
        <s v="Candidate_101"/>
        <s v="Candidate_102"/>
        <s v="Candidate_103"/>
        <s v="Candidate_104"/>
        <s v="Candidate_105"/>
        <s v="Candidate_106"/>
        <s v="Candidate_107"/>
        <s v="Candidate_108"/>
        <s v="Candidate_109"/>
        <s v="Candidate_110"/>
        <s v="Candidate_111"/>
        <s v="Candidate_112"/>
        <s v="Candidate_113"/>
        <s v="Candidate_114"/>
        <s v="Candidate_115"/>
        <s v="Candidate_116"/>
        <s v="Candidate_117"/>
        <s v="Candidate_118"/>
        <s v="Candidate_119"/>
        <s v="Candidate_120"/>
        <s v="Candidate_121"/>
        <s v="Candidate_122"/>
        <s v="Candidate_123"/>
        <s v="Candidate_124"/>
        <s v="Candidate_125"/>
        <s v="Candidate_126"/>
        <s v="Candidate_127"/>
        <s v="Candidate_128"/>
        <s v="Candidate_129"/>
        <s v="Candidate_130"/>
        <s v="Candidate_131"/>
        <s v="Candidate_132"/>
        <s v="Candidate_133"/>
        <s v="Candidate_134"/>
        <s v="Candidate_135"/>
        <s v="Candidate_136"/>
        <s v="Candidate_137"/>
        <s v="Candidate_138"/>
        <s v="Candidate_139"/>
        <s v="Candidate_140"/>
        <s v="Candidate_141"/>
        <s v="Candidate_142"/>
        <s v="Candidate_143"/>
        <s v="Candidate_144"/>
        <s v="Candidate_145"/>
        <s v="Candidate_146"/>
        <s v="Candidate_147"/>
        <s v="Candidate_148"/>
        <s v="Candidate_149"/>
        <s v="Candidate_150"/>
        <s v="Candidate_151"/>
        <s v="Candidate_152"/>
        <s v="Candidate_153"/>
        <s v="Candidate_154"/>
        <s v="Candidate_155"/>
        <s v="Candidate_156"/>
        <s v="Candidate_157"/>
        <s v="Candidate_158"/>
        <s v="Candidate_159"/>
        <s v="Candidate_160"/>
        <s v="Candidate_161"/>
        <s v="Candidate_162"/>
        <s v="Candidate_163"/>
        <s v="Candidate_164"/>
        <s v="Candidate_165"/>
        <s v="Candidate_166"/>
        <s v="Candidate_167"/>
        <s v="Candidate_168"/>
        <s v="Candidate_169"/>
        <s v="Candidate_170"/>
        <s v="Candidate_171"/>
        <s v="Candidate_172"/>
        <s v="Candidate_173"/>
        <s v="Candidate_174"/>
        <s v="Candidate_175"/>
        <s v="Candidate_176"/>
        <s v="Candidate_177"/>
        <s v="Candidate_178"/>
        <s v="Candidate_179"/>
        <s v="Candidate_180"/>
        <s v="Candidate_181"/>
        <s v="Candidate_182"/>
        <s v="Candidate_183"/>
        <s v="Candidate_184"/>
        <s v="Candidate_185"/>
        <s v="Candidate_186"/>
        <s v="Candidate_187"/>
        <s v="Candidate_188"/>
        <s v="Candidate_189"/>
        <s v="Candidate_190"/>
        <s v="Candidate_191"/>
        <s v="Candidate_192"/>
        <s v="Candidate_193"/>
        <s v="Candidate_194"/>
        <s v="Candidate_195"/>
        <s v="Candidate_196"/>
        <s v="Candidate_197"/>
        <s v="Candidate_198"/>
        <s v="Candidate_199"/>
        <s v="Candidate_200"/>
        <s v="Candidate_201"/>
        <s v="Candidate_202"/>
        <s v="Candidate_203"/>
        <s v="Candidate_204"/>
        <s v="Candidate_205"/>
        <s v="Candidate_206"/>
        <s v="Candidate_207"/>
        <s v="Candidate_208"/>
        <s v="Candidate_209"/>
        <s v="Candidate_210"/>
        <s v="Candidate_211"/>
        <s v="Candidate_212"/>
        <s v="Candidate_213"/>
        <s v="Candidate_214"/>
        <s v="Candidate_215"/>
        <s v="Candidate_216"/>
        <s v="Candidate_217"/>
        <s v="Candidate_218"/>
        <s v="Candidate_219"/>
        <s v="Candidate_220"/>
        <s v="Candidate_221"/>
        <s v="Candidate_222"/>
        <s v="Candidate_223"/>
        <s v="Candidate_224"/>
        <s v="Candidate_225"/>
        <s v="Candidate_226"/>
        <s v="Candidate_227"/>
        <s v="Candidate_228"/>
        <s v="Candidate_229"/>
        <s v="Candidate_230"/>
        <s v="Candidate_231"/>
        <s v="Candidate_232"/>
        <s v="Candidate_233"/>
        <s v="Candidate_234"/>
        <s v="Candidate_235"/>
        <s v="Candidate_236"/>
        <s v="Candidate_237"/>
        <s v="Candidate_238"/>
        <s v="Candidate_239"/>
        <s v="Candidate_240"/>
        <s v="Candidate_241"/>
        <s v="Candidate_242"/>
        <s v="Candidate_243"/>
        <s v="Candidate_244"/>
        <s v="Candidate_245"/>
        <s v="Candidate_246"/>
        <s v="Candidate_247"/>
        <s v="Candidate_248"/>
        <s v="Candidate_249"/>
        <s v="Candidate_250"/>
        <s v="Candidate_251"/>
        <s v="Candidate_252"/>
        <s v="Candidate_253"/>
        <s v="Candidate_254"/>
        <s v="Candidate_255"/>
        <s v="Candidate_256"/>
        <s v="Candidate_257"/>
        <s v="Candidate_258"/>
        <s v="Candidate_259"/>
        <s v="Candidate_260"/>
        <s v="Candidate_261"/>
        <s v="Candidate_262"/>
        <s v="Candidate_263"/>
        <s v="Candidate_264"/>
        <s v="Candidate_265"/>
        <s v="Candidate_266"/>
        <s v="Candidate_267"/>
        <s v="Candidate_268"/>
        <s v="Candidate_269"/>
        <s v="Candidate_270"/>
        <s v="Candidate_271"/>
        <s v="Candidate_272"/>
        <s v="Candidate_273"/>
        <s v="Candidate_274"/>
        <s v="Candidate_275"/>
        <s v="Candidate_276"/>
        <s v="Candidate_277"/>
        <s v="Candidate_278"/>
        <s v="Candidate_279"/>
        <s v="Candidate_280"/>
        <s v="Candidate_281"/>
        <s v="Candidate_282"/>
        <s v="Candidate_283"/>
        <s v="Candidate_284"/>
        <s v="Candidate_285"/>
        <s v="Candidate_286"/>
        <s v="Candidate_287"/>
        <s v="Candidate_288"/>
        <s v="Candidate_289"/>
        <s v="Candidate_290"/>
        <s v="Candidate_291"/>
        <s v="Candidate_292"/>
        <s v="Candidate_293"/>
        <s v="Candidate_294"/>
        <s v="Candidate_295"/>
        <s v="Candidate_296"/>
        <s v="Candidate_297"/>
        <s v="Candidate_298"/>
        <s v="Candidate_299"/>
        <s v="Candidate_300"/>
        <s v="Candidate_301"/>
        <s v="Candidate_302"/>
        <s v="Candidate_303"/>
        <s v="Candidate_304"/>
        <s v="Candidate_305"/>
        <s v="Candidate_306"/>
        <s v="Candidate_307"/>
        <s v="Candidate_308"/>
        <s v="Candidate_309"/>
        <s v="Candidate_310"/>
        <s v="Candidate_311"/>
        <s v="Candidate_312"/>
        <s v="Candidate_313"/>
        <s v="Candidate_314"/>
        <s v="Candidate_315"/>
        <s v="Candidate_316"/>
        <s v="Candidate_317"/>
        <s v="Candidate_318"/>
        <s v="Candidate_319"/>
        <s v="Candidate_320"/>
        <s v="Candidate_321"/>
        <s v="Candidate_322"/>
        <s v="Candidate_323"/>
        <s v="Candidate_324"/>
        <s v="Candidate_325"/>
        <s v="Candidate_326"/>
        <s v="Candidate_327"/>
        <s v="Candidate_328"/>
        <s v="Candidate_329"/>
        <s v="Candidate_330"/>
        <s v="Candidate_331"/>
        <s v="Candidate_332"/>
        <s v="Candidate_333"/>
        <s v="Candidate_334"/>
        <s v="Candidate_335"/>
        <s v="Candidate_336"/>
        <s v="Candidate_337"/>
        <s v="Candidate_338"/>
        <s v="Candidate_339"/>
        <s v="Candidate_340"/>
        <s v="Candidate_341"/>
        <s v="Candidate_342"/>
        <s v="Candidate_343"/>
        <s v="Candidate_344"/>
        <s v="Candidate_345"/>
        <s v="Candidate_346"/>
        <s v="Candidate_347"/>
        <s v="Candidate_348"/>
        <s v="Candidate_349"/>
        <s v="Candidate_350"/>
        <s v="Candidate_351"/>
        <s v="Candidate_352"/>
        <s v="Candidate_353"/>
        <s v="Candidate_354"/>
        <s v="Candidate_355"/>
        <s v="Candidate_356"/>
        <s v="Candidate_357"/>
        <s v="Candidate_358"/>
        <s v="Candidate_359"/>
        <s v="Candidate_360"/>
        <s v="Candidate_361"/>
        <s v="Candidate_362"/>
        <s v="Candidate_363"/>
        <s v="Candidate_364"/>
        <s v="Candidate_365"/>
        <s v="Candidate_366"/>
        <s v="Candidate_367"/>
        <s v="Candidate_368"/>
        <s v="Candidate_369"/>
        <s v="Candidate_370"/>
        <s v="Candidate_371"/>
        <s v="Candidate_372"/>
        <s v="Candidate_373"/>
        <s v="Candidate_374"/>
        <s v="Candidate_375"/>
        <s v="Candidate_376"/>
        <s v="Candidate_377"/>
        <s v="Candidate_378"/>
        <s v="Candidate_379"/>
        <s v="Candidate_380"/>
        <s v="Candidate_381"/>
        <s v="Candidate_382"/>
        <s v="Candidate_383"/>
        <s v="Candidate_384"/>
        <s v="Candidate_385"/>
        <s v="Candidate_386"/>
        <s v="Candidate_387"/>
        <s v="Candidate_388"/>
        <s v="Candidate_389"/>
        <s v="Candidate_390"/>
        <s v="Candidate_391"/>
        <s v="Candidate_392"/>
        <s v="Candidate_393"/>
        <s v="Candidate_394"/>
        <s v="Candidate_395"/>
        <s v="Candidate_396"/>
        <s v="Candidate_397"/>
        <s v="Candidate_398"/>
        <s v="Candidate_399"/>
        <s v="Candidate_400"/>
        <s v="Candidate_401"/>
        <s v="Candidate_402"/>
        <s v="Candidate_403"/>
        <s v="Candidate_404"/>
        <s v="Candidate_405"/>
        <s v="Candidate_406"/>
        <s v="Candidate_407"/>
        <s v="Candidate_408"/>
        <s v="Candidate_409"/>
        <s v="Candidate_410"/>
        <s v="Candidate_411"/>
        <s v="Candidate_412"/>
        <s v="Candidate_413"/>
        <s v="Candidate_414"/>
        <s v="Candidate_415"/>
        <s v="Candidate_416"/>
        <s v="Candidate_417"/>
        <s v="Candidate_418"/>
        <s v="Candidate_419"/>
        <s v="Candidate_420"/>
        <s v="Candidate_421"/>
        <s v="Candidate_422"/>
        <s v="Candidate_423"/>
        <s v="Candidate_424"/>
        <s v="Candidate_425"/>
        <s v="Candidate_426"/>
        <s v="Candidate_427"/>
        <s v="Candidate_428"/>
        <s v="Candidate_429"/>
        <s v="Candidate_430"/>
        <s v="Candidate_431"/>
        <s v="Candidate_432"/>
        <s v="Candidate_433"/>
        <s v="Candidate_434"/>
        <s v="Candidate_435"/>
        <s v="Candidate_436"/>
        <s v="Candidate_437"/>
        <s v="Candidate_438"/>
        <s v="Candidate_439"/>
        <s v="Candidate_440"/>
        <s v="Candidate_441"/>
        <s v="Candidate_442"/>
        <s v="Candidate_443"/>
        <s v="Candidate_444"/>
        <s v="Candidate_445"/>
        <s v="Candidate_446"/>
        <s v="Candidate_447"/>
        <s v="Candidate_448"/>
        <s v="Candidate_449"/>
        <s v="Candidate_450"/>
        <s v="Candidate_451"/>
        <s v="Candidate_452"/>
        <s v="Candidate_453"/>
        <s v="Candidate_454"/>
        <s v="Candidate_455"/>
        <s v="Candidate_456"/>
        <s v="Candidate_457"/>
        <s v="Candidate_458"/>
        <s v="Candidate_459"/>
        <s v="Candidate_460"/>
        <s v="Candidate_461"/>
        <s v="Candidate_462"/>
        <s v="Candidate_463"/>
        <s v="Candidate_464"/>
        <s v="Candidate_465"/>
        <s v="Candidate_466"/>
        <s v="Candidate_467"/>
        <s v="Candidate_468"/>
        <s v="Candidate_469"/>
        <s v="Candidate_470"/>
        <s v="Candidate_471"/>
        <s v="Candidate_472"/>
        <s v="Candidate_473"/>
        <s v="Candidate_474"/>
        <s v="Candidate_475"/>
        <s v="Candidate_476"/>
        <s v="Candidate_477"/>
        <s v="Candidate_478"/>
        <s v="Candidate_479"/>
        <s v="Candidate_480"/>
        <s v="Candidate_481"/>
        <s v="Candidate_482"/>
        <s v="Candidate_483"/>
        <s v="Candidate_484"/>
        <s v="Candidate_485"/>
        <s v="Candidate_486"/>
        <s v="Candidate_487"/>
        <s v="Candidate_488"/>
        <s v="Candidate_489"/>
        <s v="Candidate_490"/>
        <s v="Candidate_491"/>
        <s v="Candidate_492"/>
        <s v="Candidate_493"/>
        <s v="Candidate_494"/>
        <s v="Candidate_495"/>
        <s v="Candidate_496"/>
        <s v="Candidate_497"/>
        <s v="Candidate_498"/>
        <s v="Candidate_499"/>
        <s v="Candidate_500"/>
        <m/>
      </sharedItems>
    </cacheField>
    <cacheField name="department" numFmtId="0">
      <sharedItems containsBlank="1" count="7">
        <s v="HR"/>
        <s v="Engineering"/>
        <s v="Sales"/>
        <s v="Marketing"/>
        <s v="Operations"/>
        <s v="Finance"/>
        <m/>
      </sharedItems>
    </cacheField>
    <cacheField name="job_title" numFmtId="0">
      <sharedItems containsBlank="1" count="7">
        <s v="Operations Manager"/>
        <s v="Marketing Manager"/>
        <s v="Software Engineer"/>
        <s v="Sales Executive"/>
        <s v="Financial Analyst"/>
        <s v="HR Specialist"/>
        <m/>
      </sharedItems>
    </cacheField>
    <cacheField name="source" numFmtId="0">
      <sharedItems containsBlank="1" count="6">
        <s v="Job Board"/>
        <s v="LinkedIn"/>
        <s v="Company Website"/>
        <s v="Referral"/>
        <s v="Agency"/>
        <m/>
      </sharedItems>
    </cacheField>
    <cacheField name="current_stage" numFmtId="0">
      <sharedItems containsBlank="1" count="8">
        <s v="Hired"/>
        <s v="Rejected"/>
        <s v="Applied"/>
        <s v="Offer"/>
        <s v="Final Interview"/>
        <s v="Screening"/>
        <s v="Interview"/>
        <m/>
      </sharedItems>
    </cacheField>
    <cacheField name="applied_date" numFmtId="0">
      <sharedItems containsNonDate="0" containsDate="1" containsString="0" containsBlank="1" minDate="2025-01-01T00:00:00" maxDate="2025-10-28T00:00:00"/>
    </cacheField>
    <cacheField name="interview_date" numFmtId="0">
      <sharedItems containsNonDate="0" containsDate="1" containsString="0" containsBlank="1" minDate="2025-01-09T00:00:00" maxDate="2025-11-16T00:00:00"/>
    </cacheField>
    <cacheField name="offer_date" numFmtId="0">
      <sharedItems containsNonDate="0" containsDate="1" containsString="0" containsBlank="1" minDate="2025-01-23T00:00:00" maxDate="2025-11-18T00:00:00"/>
    </cacheField>
    <cacheField name="hire_date" numFmtId="0">
      <sharedItems containsNonDate="0" containsDate="1" containsString="0" containsBlank="1" minDate="2025-02-12T00:00:00" maxDate="2025-11-26T00:00:00"/>
    </cacheField>
    <cacheField name="recruiting_cost_usd" numFmtId="0">
      <sharedItems containsString="0" containsBlank="1" containsNumber="1" containsInteger="1" minValue="200" maxValue="1999"/>
    </cacheField>
    <cacheField name="total applicants" numFmtId="0">
      <sharedItems containsString="0" containsBlank="1" containsNumber="1" containsInteger="1" minValue="500" maxValue="500"/>
    </cacheField>
    <cacheField name="total hires" numFmtId="0">
      <sharedItems containsString="0" containsBlank="1" containsNumber="1" containsInteger="1" minValue="68" maxValue="68"/>
    </cacheField>
    <cacheField name="offers" numFmtId="0">
      <sharedItems containsString="0" containsBlank="1" containsNumber="1" containsInteger="1" minValue="135" maxValue="135"/>
    </cacheField>
    <cacheField name="offer acceptance rate" numFmtId="0">
      <sharedItems containsString="0" containsBlank="1" containsNumber="1" minValue="0.50370370370370365" maxValue="0.50370370370370365"/>
    </cacheField>
    <cacheField name="Time to Hire " numFmtId="0">
      <sharedItems containsBlank="1" containsMixedTypes="1" containsNumber="1" containsInteger="1" minValue="24" maxValue="50"/>
    </cacheField>
    <cacheField name="Avg Time to hire" numFmtId="0">
      <sharedItems containsString="0" containsBlank="1" containsNumber="1" minValue="36.573529411764703" maxValue="36.573529411764703"/>
    </cacheField>
  </cacheFields>
  <extLst>
    <ext xmlns:x14="http://schemas.microsoft.com/office/spreadsheetml/2009/9/main" uri="{725AE2AE-9491-48be-B2B4-4EB974FC3084}">
      <x14:pivotCacheDefinition pivotCacheId="19328974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rsh Mehra" refreshedDate="46091.565927430558" createdVersion="8" refreshedVersion="8" minRefreshableVersion="3" recordCount="500" xr:uid="{2CA03F25-B2DF-2C46-9195-849EE776600D}">
  <cacheSource type="worksheet">
    <worksheetSource ref="A1:R501" sheet="Recruitment_dashboard_dataset"/>
  </cacheSource>
  <cacheFields count="17">
    <cacheField name="candidate_id" numFmtId="0">
      <sharedItems containsSemiMixedTypes="0" containsString="0" containsNumber="1" containsInteger="1" minValue="1" maxValue="500"/>
    </cacheField>
    <cacheField name="candidate_name" numFmtId="0">
      <sharedItems/>
    </cacheField>
    <cacheField name="department" numFmtId="0">
      <sharedItems/>
    </cacheField>
    <cacheField name="job_title" numFmtId="0">
      <sharedItems/>
    </cacheField>
    <cacheField name="source" numFmtId="0">
      <sharedItems count="5">
        <s v="Job Board"/>
        <s v="LinkedIn"/>
        <s v="Company Website"/>
        <s v="Referral"/>
        <s v="Agency"/>
      </sharedItems>
    </cacheField>
    <cacheField name="current_stage" numFmtId="0">
      <sharedItems count="7">
        <s v="Hired"/>
        <s v="Rejected"/>
        <s v="Applied"/>
        <s v="Offer"/>
        <s v="Final Interview"/>
        <s v="Screening"/>
        <s v="Interview"/>
      </sharedItems>
    </cacheField>
    <cacheField name="applied_date" numFmtId="14">
      <sharedItems containsSemiMixedTypes="0" containsNonDate="0" containsDate="1" containsString="0" minDate="2025-01-01T00:00:00" maxDate="2025-10-28T00:00:00"/>
    </cacheField>
    <cacheField name="interview_date" numFmtId="0">
      <sharedItems containsNonDate="0" containsDate="1" containsString="0" containsBlank="1" minDate="2025-01-09T00:00:00" maxDate="2025-11-16T00:00:00"/>
    </cacheField>
    <cacheField name="offer_date" numFmtId="0">
      <sharedItems containsNonDate="0" containsDate="1" containsString="0" containsBlank="1" minDate="2025-01-23T00:00:00" maxDate="2025-11-18T00:00:00"/>
    </cacheField>
    <cacheField name="hire_date" numFmtId="0">
      <sharedItems containsNonDate="0" containsDate="1" containsString="0" containsBlank="1" minDate="2025-02-12T00:00:00" maxDate="2025-11-26T00:00:00"/>
    </cacheField>
    <cacheField name="recruiting_cost_usd" numFmtId="0">
      <sharedItems containsSemiMixedTypes="0" containsString="0" containsNumber="1" containsInteger="1" minValue="200" maxValue="1999"/>
    </cacheField>
    <cacheField name="total applicants" numFmtId="0">
      <sharedItems containsString="0" containsBlank="1" containsNumber="1" containsInteger="1" minValue="500" maxValue="500"/>
    </cacheField>
    <cacheField name="total hires" numFmtId="0">
      <sharedItems containsString="0" containsBlank="1" containsNumber="1" containsInteger="1" minValue="68" maxValue="68"/>
    </cacheField>
    <cacheField name="offers" numFmtId="0">
      <sharedItems containsString="0" containsBlank="1" containsNumber="1" containsInteger="1" minValue="135" maxValue="135"/>
    </cacheField>
    <cacheField name="offer acceptance rate" numFmtId="0">
      <sharedItems containsString="0" containsBlank="1" containsNumber="1" minValue="0.50370370370370365" maxValue="0.50370370370370365"/>
    </cacheField>
    <cacheField name="Time to Hire " numFmtId="0">
      <sharedItems containsMixedTypes="1" containsNumber="1" containsInteger="1" minValue="24" maxValue="50"/>
    </cacheField>
    <cacheField name="Avg Time to hire" numFmtId="0">
      <sharedItems containsString="0" containsBlank="1" containsNumber="1" minValue="36.573529411764703" maxValue="36.573529411764703"/>
    </cacheField>
  </cacheFields>
  <extLst>
    <ext xmlns:x14="http://schemas.microsoft.com/office/spreadsheetml/2009/9/main" uri="{725AE2AE-9491-48be-B2B4-4EB974FC3084}">
      <x14:pivotCacheDefinition pivotCacheId="396434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rsh Mehra" refreshedDate="46091.580762268517" createdVersion="8" refreshedVersion="8" minRefreshableVersion="3" recordCount="500" xr:uid="{897DECA3-27B1-334A-81C9-5FF0FB9146F5}">
  <cacheSource type="worksheet">
    <worksheetSource name="Table4"/>
  </cacheSource>
  <cacheFields count="18">
    <cacheField name="candidate_id" numFmtId="0">
      <sharedItems containsSemiMixedTypes="0" containsString="0" containsNumber="1" containsInteger="1" minValue="1" maxValue="500"/>
    </cacheField>
    <cacheField name="candidate_name" numFmtId="0">
      <sharedItems/>
    </cacheField>
    <cacheField name="department" numFmtId="0">
      <sharedItems/>
    </cacheField>
    <cacheField name="job_title" numFmtId="0">
      <sharedItems/>
    </cacheField>
    <cacheField name="source" numFmtId="0">
      <sharedItems count="5">
        <s v="Job Board"/>
        <s v="LinkedIn"/>
        <s v="Company Website"/>
        <s v="Referral"/>
        <s v="Agency"/>
      </sharedItems>
    </cacheField>
    <cacheField name="current_stage" numFmtId="0">
      <sharedItems count="7">
        <s v="Hired"/>
        <s v="Rejected"/>
        <s v="Applied"/>
        <s v="Offer"/>
        <s v="Final Interview"/>
        <s v="Screening"/>
        <s v="Interview"/>
      </sharedItems>
    </cacheField>
    <cacheField name="applied_date" numFmtId="14">
      <sharedItems containsSemiMixedTypes="0" containsNonDate="0" containsDate="1" containsString="0" minDate="2025-01-01T00:00:00" maxDate="2025-10-28T00:00:00"/>
    </cacheField>
    <cacheField name="interview_date" numFmtId="0">
      <sharedItems containsNonDate="0" containsDate="1" containsString="0" containsBlank="1" minDate="2025-01-09T00:00:00" maxDate="2025-11-16T00:00:00"/>
    </cacheField>
    <cacheField name="offer_date" numFmtId="0">
      <sharedItems containsNonDate="0" containsDate="1" containsString="0" containsBlank="1" minDate="2025-01-23T00:00:00" maxDate="2025-11-18T00:00:00"/>
    </cacheField>
    <cacheField name="hire_date" numFmtId="0">
      <sharedItems containsNonDate="0" containsDate="1" containsString="0" containsBlank="1" minDate="2025-02-12T00:00:00" maxDate="2025-11-26T00:00:00"/>
    </cacheField>
    <cacheField name="Hire month" numFmtId="14">
      <sharedItems count="11">
        <s v="Aug-2025"/>
        <s v=""/>
        <s v="Feb-2025"/>
        <s v="Sep-2025"/>
        <s v="Oct-2025"/>
        <s v="Jul-2025"/>
        <s v="May-2025"/>
        <s v="Mar-2025"/>
        <s v="Apr-2025"/>
        <s v="Nov-2025"/>
        <s v="Jun-2025"/>
      </sharedItems>
    </cacheField>
    <cacheField name="recruiting_cost_usd" numFmtId="0">
      <sharedItems containsSemiMixedTypes="0" containsString="0" containsNumber="1" containsInteger="1" minValue="200" maxValue="1999"/>
    </cacheField>
    <cacheField name="total applicants" numFmtId="0">
      <sharedItems containsString="0" containsBlank="1" containsNumber="1" containsInteger="1" minValue="500" maxValue="500"/>
    </cacheField>
    <cacheField name="total hires" numFmtId="0">
      <sharedItems containsString="0" containsBlank="1" containsNumber="1" containsInteger="1" minValue="68" maxValue="68"/>
    </cacheField>
    <cacheField name="offers" numFmtId="0">
      <sharedItems containsString="0" containsBlank="1" containsNumber="1" containsInteger="1" minValue="135" maxValue="135"/>
    </cacheField>
    <cacheField name="offer acceptance rate" numFmtId="0">
      <sharedItems containsString="0" containsBlank="1" containsNumber="1" minValue="0.50370370370370365" maxValue="0.50370370370370365"/>
    </cacheField>
    <cacheField name="Time to Hire " numFmtId="0">
      <sharedItems containsMixedTypes="1" containsNumber="1" containsInteger="1" minValue="24" maxValue="50"/>
    </cacheField>
    <cacheField name="Avg Time to hire" numFmtId="0">
      <sharedItems containsString="0" containsBlank="1" containsNumber="1" minValue="36.573529411764703" maxValue="36.573529411764703" count="2">
        <n v="36.573529411764703"/>
        <m/>
      </sharedItems>
    </cacheField>
  </cacheFields>
  <extLst>
    <ext xmlns:x14="http://schemas.microsoft.com/office/spreadsheetml/2009/9/main" uri="{725AE2AE-9491-48be-B2B4-4EB974FC3084}">
      <x14:pivotCacheDefinition pivotCacheId="520248953"/>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E4CF-C0E5-5149-9812-46CEA79176F0}"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6">
  <location ref="A3:B12" firstHeaderRow="1" firstDataRow="1" firstDataCol="1"/>
  <pivotFields count="17">
    <pivotField dataField="1" showAll="0"/>
    <pivotField showAll="0">
      <items count="502">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500"/>
        <item t="default"/>
      </items>
    </pivotField>
    <pivotField showAll="0">
      <items count="8">
        <item x="1"/>
        <item x="5"/>
        <item x="0"/>
        <item x="3"/>
        <item x="4"/>
        <item x="2"/>
        <item x="6"/>
        <item t="default"/>
      </items>
    </pivotField>
    <pivotField showAll="0">
      <items count="8">
        <item x="4"/>
        <item x="5"/>
        <item x="1"/>
        <item x="0"/>
        <item x="3"/>
        <item x="2"/>
        <item x="6"/>
        <item t="default"/>
      </items>
    </pivotField>
    <pivotField showAll="0">
      <items count="7">
        <item x="4"/>
        <item x="2"/>
        <item x="0"/>
        <item x="1"/>
        <item x="3"/>
        <item x="5"/>
        <item t="default"/>
      </items>
    </pivotField>
    <pivotField axis="axisRow" showAll="0">
      <items count="9">
        <item x="2"/>
        <item x="4"/>
        <item x="0"/>
        <item x="6"/>
        <item x="3"/>
        <item x="1"/>
        <item x="5"/>
        <item x="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candidate_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C8666-8642-0F43-8862-35192D1AFC98}" name="PivotTable2"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A3:B9" firstHeaderRow="1" firstDataRow="1" firstDataCol="1" rowPageCount="1" colPageCount="1"/>
  <pivotFields count="17">
    <pivotField dataField="1" showAll="0"/>
    <pivotField showAll="0"/>
    <pivotField showAll="0"/>
    <pivotField showAll="0"/>
    <pivotField axis="axisRow" showAll="0">
      <items count="6">
        <item x="4"/>
        <item x="2"/>
        <item x="0"/>
        <item x="1"/>
        <item x="3"/>
        <item t="default"/>
      </items>
    </pivotField>
    <pivotField axis="axisPage" multipleItemSelectionAllowed="1" showAll="0">
      <items count="8">
        <item h="1" x="2"/>
        <item h="1" x="4"/>
        <item x="0"/>
        <item h="1" x="6"/>
        <item h="1" x="3"/>
        <item h="1" x="1"/>
        <item h="1" x="5"/>
        <item t="default"/>
      </items>
    </pivotField>
    <pivotField numFmtId="14"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pageFields count="1">
    <pageField fld="5" hier="-1"/>
  </pageFields>
  <dataFields count="1">
    <dataField name="Count of candidate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B4A37B-2D2F-EB4E-8012-86FA0A0DF523}" name="PivotTable7"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3:B14" firstHeaderRow="1" firstDataRow="1" firstDataCol="1" rowPageCount="1" colPageCount="1"/>
  <pivotFields count="18">
    <pivotField dataField="1" showAll="0"/>
    <pivotField showAll="0"/>
    <pivotField showAll="0"/>
    <pivotField showAll="0"/>
    <pivotField showAll="0">
      <items count="6">
        <item x="4"/>
        <item x="2"/>
        <item x="0"/>
        <item x="1"/>
        <item x="3"/>
        <item t="default"/>
      </items>
    </pivotField>
    <pivotField axis="axisPage" multipleItemSelectionAllowed="1" showAll="0">
      <items count="8">
        <item h="1" x="2"/>
        <item h="1" x="4"/>
        <item x="0"/>
        <item h="1" x="6"/>
        <item h="1" x="3"/>
        <item h="1" x="1"/>
        <item h="1" x="5"/>
        <item t="default"/>
      </items>
    </pivotField>
    <pivotField numFmtId="14" showAll="0"/>
    <pivotField showAll="0"/>
    <pivotField showAll="0"/>
    <pivotField showAll="0"/>
    <pivotField axis="axisRow" showAll="0">
      <items count="12">
        <item x="1"/>
        <item x="8"/>
        <item x="0"/>
        <item x="2"/>
        <item x="5"/>
        <item x="10"/>
        <item x="7"/>
        <item x="6"/>
        <item x="9"/>
        <item x="4"/>
        <item x="3"/>
        <item t="default"/>
      </items>
    </pivotField>
    <pivotField showAll="0"/>
    <pivotField showAll="0"/>
    <pivotField showAll="0"/>
    <pivotField showAll="0"/>
    <pivotField showAll="0"/>
    <pivotField showAll="0"/>
    <pivotField showAll="0"/>
  </pivotFields>
  <rowFields count="1">
    <field x="10"/>
  </rowFields>
  <rowItems count="11">
    <i>
      <x v="1"/>
    </i>
    <i>
      <x v="2"/>
    </i>
    <i>
      <x v="3"/>
    </i>
    <i>
      <x v="4"/>
    </i>
    <i>
      <x v="5"/>
    </i>
    <i>
      <x v="6"/>
    </i>
    <i>
      <x v="7"/>
    </i>
    <i>
      <x v="8"/>
    </i>
    <i>
      <x v="9"/>
    </i>
    <i>
      <x v="10"/>
    </i>
    <i t="grand">
      <x/>
    </i>
  </rowItems>
  <colItems count="1">
    <i/>
  </colItems>
  <pageFields count="1">
    <pageField fld="5" hier="-1"/>
  </pageFields>
  <dataFields count="1">
    <dataField name="Count of candidate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2CADF-BC5E-6546-BDC1-5491E967EE38}" name="PivotTable8"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A3:B9" firstHeaderRow="1" firstDataRow="1" firstDataCol="1"/>
  <pivotFields count="18">
    <pivotField showAll="0"/>
    <pivotField showAll="0"/>
    <pivotField showAll="0"/>
    <pivotField showAll="0"/>
    <pivotField axis="axisRow" showAll="0">
      <items count="6">
        <item x="4"/>
        <item x="2"/>
        <item x="0"/>
        <item x="1"/>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6">
    <i>
      <x/>
    </i>
    <i>
      <x v="1"/>
    </i>
    <i>
      <x v="2"/>
    </i>
    <i>
      <x v="3"/>
    </i>
    <i>
      <x v="4"/>
    </i>
    <i t="grand">
      <x/>
    </i>
  </rowItems>
  <colItems count="1">
    <i/>
  </colItems>
  <dataFields count="1">
    <dataField name="Average of Time to Hire " fld="16" subtotal="average" baseField="0" baseItem="0" numFmtId="1"/>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stage" xr10:uid="{FC993ACA-66A0-0D4D-8504-3666D175F5F4}" sourceName="current_stage">
  <pivotTables>
    <pivotTable tabId="2" name="PivotTable1"/>
  </pivotTables>
  <data>
    <tabular pivotCacheId="1932897402">
      <items count="8">
        <i x="2" s="1"/>
        <i x="4" s="1"/>
        <i x="0" s="1"/>
        <i x="6" s="1"/>
        <i x="3" s="1"/>
        <i x="1" s="1"/>
        <i x="5"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e_month" xr10:uid="{A8C712BC-0385-0A4C-B63C-52EB1E5DAB7D}" sourceName="Hire month">
  <pivotTables>
    <pivotTable tabId="9" name="PivotTable7"/>
  </pivotTables>
  <data>
    <tabular pivotCacheId="520248953">
      <items count="11">
        <i x="8" s="1"/>
        <i x="0" s="1"/>
        <i x="2" s="1"/>
        <i x="5" s="1"/>
        <i x="10" s="1"/>
        <i x="7" s="1"/>
        <i x="6" s="1"/>
        <i x="9" s="1"/>
        <i x="4" s="1"/>
        <i x="3"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1" xr10:uid="{433BBB84-088F-A642-BCC0-33073CF3DC67}" sourceName="source">
  <pivotTables>
    <pivotTable tabId="10" name="PivotTable8"/>
    <pivotTable tabId="9" name="PivotTable7"/>
  </pivotTables>
  <data>
    <tabular pivotCacheId="520248953">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_stage" xr10:uid="{80B9DDCA-B8EE-3649-AA5B-B9E9C8514C2D}" cache="Slicer_current_stage" caption="current_stage" rowHeight="251883"/>
  <slicer name="Hire month" xr10:uid="{D73FCE3B-0C8B-484A-9C27-DAB8B6DEA80D}" cache="Slicer_Hire_month" caption="Hire month" rowHeight="251883"/>
  <slicer name="source 1" xr10:uid="{091EC0B8-50D9-D947-88B6-F5F921340ED7}" cache="Slicer_source1" caption="sour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04BEBC-0CA0-3641-A51C-A5BE701F55A3}" name="Table4" displayName="Table4" ref="A1:R501" totalsRowShown="0" headerRowDxfId="5">
  <autoFilter ref="A1:R501" xr:uid="{D304BEBC-0CA0-3641-A51C-A5BE701F55A3}"/>
  <tableColumns count="18">
    <tableColumn id="1" xr3:uid="{E1F73CCA-286A-CC43-827D-B6D2C4487F0D}" name="candidate_id"/>
    <tableColumn id="2" xr3:uid="{77E55CBF-B400-E948-888D-E2D28E95ADBE}" name="candidate_name"/>
    <tableColumn id="3" xr3:uid="{5DEC99A7-4CA9-7448-BA17-9FD0F424A32E}" name="department"/>
    <tableColumn id="4" xr3:uid="{013207B3-FE98-CD4A-A26C-A1802B24BC90}" name="job_title"/>
    <tableColumn id="5" xr3:uid="{806A45D7-31F9-C840-AAAB-8ACA0B061087}" name="source"/>
    <tableColumn id="6" xr3:uid="{75451739-4F02-B341-B52C-AA42F620A79A}" name="current_stage"/>
    <tableColumn id="7" xr3:uid="{A446956E-8884-C049-A0A5-85F1AF50780F}" name="applied_date" dataDxfId="4"/>
    <tableColumn id="8" xr3:uid="{1746B7BC-3213-D448-9CF6-245CF78F6A03}" name="interview_date" dataDxfId="3"/>
    <tableColumn id="9" xr3:uid="{DF31E150-0156-184F-828A-A95CD7E85BE5}" name="offer_date"/>
    <tableColumn id="10" xr3:uid="{8E5869F2-2A85-5246-9863-99C1167EAF64}" name="hire_date"/>
    <tableColumn id="11" xr3:uid="{13D24C3F-2BE4-8345-9C5A-ED230DC7EBD4}" name="Hire month" dataDxfId="2">
      <calculatedColumnFormula>IF(J2="","",TEXT(J2,"mmm-yyyy"))</calculatedColumnFormula>
    </tableColumn>
    <tableColumn id="12" xr3:uid="{2C95142E-6B23-B04B-9F6F-B9C4AEF9E3F8}" name="recruiting_cost_usd"/>
    <tableColumn id="13" xr3:uid="{26C3293C-C817-8C48-8F66-5E8B67D10AE0}" name="total applicants"/>
    <tableColumn id="14" xr3:uid="{C7467842-D8D6-4B41-9D0E-9CAC5042249A}" name="total hires"/>
    <tableColumn id="15" xr3:uid="{EE3E5BAB-7840-9347-9096-0EB8D63DBB87}" name="offers"/>
    <tableColumn id="16" xr3:uid="{FAA235CB-54E1-BE4A-ACDF-14750268B1B4}" name="offer acceptance rate"/>
    <tableColumn id="17" xr3:uid="{C9463DC0-F56B-DE49-BCFB-D551EB6CBE7C}" name="Time to Hire ">
      <calculatedColumnFormula>IF(J2="","",J2-G2)</calculatedColumnFormula>
    </tableColumn>
    <tableColumn id="18" xr3:uid="{C42BD3D8-4715-2540-9ECE-8DF9279F0212}" name="Avg Time to hir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7477-45F4-F04F-BFE7-05C5DB098526}">
  <dimension ref="A1:R501"/>
  <sheetViews>
    <sheetView topLeftCell="C1" workbookViewId="0">
      <selection activeCell="S14" sqref="S14"/>
    </sheetView>
  </sheetViews>
  <sheetFormatPr baseColWidth="10" defaultRowHeight="16" x14ac:dyDescent="0.2"/>
  <cols>
    <col min="1" max="1" width="14" customWidth="1"/>
    <col min="2" max="2" width="17.1640625" customWidth="1"/>
    <col min="3" max="3" width="13.1640625" customWidth="1"/>
    <col min="4" max="4" width="17.6640625" bestFit="1" customWidth="1"/>
    <col min="5" max="5" width="15.83203125" bestFit="1" customWidth="1"/>
    <col min="6" max="6" width="15" customWidth="1"/>
    <col min="7" max="7" width="14" customWidth="1"/>
    <col min="8" max="8" width="15.5" customWidth="1"/>
    <col min="9" max="9" width="12" customWidth="1"/>
    <col min="10" max="10" width="11.1640625" customWidth="1"/>
    <col min="11" max="11" width="12.6640625" customWidth="1"/>
    <col min="12" max="12" width="19.83203125" customWidth="1"/>
    <col min="13" max="13" width="16.33203125" customWidth="1"/>
    <col min="14" max="14" width="11.83203125" customWidth="1"/>
    <col min="15" max="15" width="10.33203125" customWidth="1"/>
    <col min="16" max="16" width="21.1640625" customWidth="1"/>
    <col min="17" max="17" width="13.6640625" customWidth="1"/>
    <col min="18" max="18" width="16.33203125" customWidth="1"/>
  </cols>
  <sheetData>
    <row r="1" spans="1:18" s="2" customFormat="1" x14ac:dyDescent="0.2">
      <c r="A1" s="2" t="s">
        <v>0</v>
      </c>
      <c r="B1" s="2" t="s">
        <v>1</v>
      </c>
      <c r="C1" s="2" t="s">
        <v>2</v>
      </c>
      <c r="D1" s="2" t="s">
        <v>3</v>
      </c>
      <c r="E1" s="2" t="s">
        <v>4</v>
      </c>
      <c r="F1" s="2" t="s">
        <v>5</v>
      </c>
      <c r="G1" s="2" t="s">
        <v>6</v>
      </c>
      <c r="H1" s="2" t="s">
        <v>7</v>
      </c>
      <c r="I1" s="2" t="s">
        <v>8</v>
      </c>
      <c r="J1" s="2" t="s">
        <v>9</v>
      </c>
      <c r="K1" s="2" t="s">
        <v>544</v>
      </c>
      <c r="L1" s="2" t="s">
        <v>10</v>
      </c>
      <c r="M1" s="2" t="s">
        <v>536</v>
      </c>
      <c r="N1" s="2" t="s">
        <v>535</v>
      </c>
      <c r="O1" s="2" t="s">
        <v>538</v>
      </c>
      <c r="P1" s="2" t="s">
        <v>537</v>
      </c>
      <c r="Q1" s="2" t="s">
        <v>539</v>
      </c>
      <c r="R1" s="2" t="s">
        <v>540</v>
      </c>
    </row>
    <row r="2" spans="1:18" x14ac:dyDescent="0.2">
      <c r="A2">
        <v>1</v>
      </c>
      <c r="B2" t="s">
        <v>11</v>
      </c>
      <c r="C2" t="s">
        <v>12</v>
      </c>
      <c r="D2" t="s">
        <v>13</v>
      </c>
      <c r="E2" t="s">
        <v>14</v>
      </c>
      <c r="F2" t="s">
        <v>15</v>
      </c>
      <c r="G2" s="1">
        <v>45857</v>
      </c>
      <c r="H2" s="1">
        <v>45868</v>
      </c>
      <c r="I2" s="1">
        <v>45887</v>
      </c>
      <c r="J2" s="1">
        <v>45892</v>
      </c>
      <c r="K2" s="1" t="str">
        <f>IF(J2="","",TEXT(J2,"mmm-yyyy"))</f>
        <v>Aug-2025</v>
      </c>
      <c r="L2">
        <v>571</v>
      </c>
      <c r="M2">
        <f>COUNTA(A:A)-1</f>
        <v>500</v>
      </c>
      <c r="N2">
        <f>COUNTIF(F:F,"Hired")</f>
        <v>68</v>
      </c>
      <c r="O2">
        <f>COUNTIF(I:I,"&lt;&gt;")-1</f>
        <v>134</v>
      </c>
      <c r="P2" s="3">
        <f>N2/O2</f>
        <v>0.5074626865671642</v>
      </c>
      <c r="Q2">
        <f t="shared" ref="Q2:Q65" si="0">IF(J2="","",J2-G2)</f>
        <v>35</v>
      </c>
      <c r="R2" s="6">
        <f>AVERAGE(Q:Q)-1</f>
        <v>35.573529411764703</v>
      </c>
    </row>
    <row r="3" spans="1:18" x14ac:dyDescent="0.2">
      <c r="A3">
        <v>2</v>
      </c>
      <c r="B3" t="s">
        <v>16</v>
      </c>
      <c r="C3" t="s">
        <v>17</v>
      </c>
      <c r="D3" t="s">
        <v>13</v>
      </c>
      <c r="E3" t="s">
        <v>14</v>
      </c>
      <c r="F3" t="s">
        <v>18</v>
      </c>
      <c r="G3" s="1">
        <v>45853</v>
      </c>
      <c r="H3" s="1">
        <v>45865</v>
      </c>
      <c r="K3" s="1" t="str">
        <f t="shared" ref="K3:K66" si="1">IF(J3="","",TEXT(J3,"mmm-yyyy"))</f>
        <v/>
      </c>
      <c r="L3">
        <v>1187</v>
      </c>
      <c r="Q3" t="str">
        <f t="shared" si="0"/>
        <v/>
      </c>
    </row>
    <row r="4" spans="1:18" x14ac:dyDescent="0.2">
      <c r="A4">
        <v>3</v>
      </c>
      <c r="B4" t="s">
        <v>19</v>
      </c>
      <c r="C4" t="s">
        <v>20</v>
      </c>
      <c r="D4" t="s">
        <v>21</v>
      </c>
      <c r="E4" t="s">
        <v>22</v>
      </c>
      <c r="F4" t="s">
        <v>23</v>
      </c>
      <c r="G4" s="1">
        <v>45795</v>
      </c>
      <c r="K4" s="1" t="str">
        <f t="shared" si="1"/>
        <v/>
      </c>
      <c r="L4">
        <v>812</v>
      </c>
      <c r="Q4" t="str">
        <f t="shared" si="0"/>
        <v/>
      </c>
    </row>
    <row r="5" spans="1:18" x14ac:dyDescent="0.2">
      <c r="A5">
        <v>4</v>
      </c>
      <c r="B5" t="s">
        <v>24</v>
      </c>
      <c r="C5" t="s">
        <v>25</v>
      </c>
      <c r="D5" t="s">
        <v>26</v>
      </c>
      <c r="E5" t="s">
        <v>22</v>
      </c>
      <c r="F5" t="s">
        <v>27</v>
      </c>
      <c r="G5" s="1">
        <v>45897</v>
      </c>
      <c r="H5" s="1">
        <v>45910</v>
      </c>
      <c r="I5" s="1">
        <v>45928</v>
      </c>
      <c r="K5" s="1" t="str">
        <f t="shared" si="1"/>
        <v/>
      </c>
      <c r="L5">
        <v>1237</v>
      </c>
      <c r="Q5" t="str">
        <f t="shared" si="0"/>
        <v/>
      </c>
    </row>
    <row r="6" spans="1:18" x14ac:dyDescent="0.2">
      <c r="A6">
        <v>5</v>
      </c>
      <c r="B6" t="s">
        <v>28</v>
      </c>
      <c r="C6" t="s">
        <v>12</v>
      </c>
      <c r="D6" t="s">
        <v>26</v>
      </c>
      <c r="E6" t="s">
        <v>14</v>
      </c>
      <c r="F6" t="s">
        <v>15</v>
      </c>
      <c r="G6" s="1">
        <v>45673</v>
      </c>
      <c r="H6" s="1">
        <v>45692</v>
      </c>
      <c r="I6" s="1">
        <v>45703</v>
      </c>
      <c r="J6" s="1">
        <v>45713</v>
      </c>
      <c r="K6" s="1" t="str">
        <f t="shared" si="1"/>
        <v>Feb-2025</v>
      </c>
      <c r="L6">
        <v>338</v>
      </c>
      <c r="Q6">
        <f t="shared" si="0"/>
        <v>40</v>
      </c>
    </row>
    <row r="7" spans="1:18" x14ac:dyDescent="0.2">
      <c r="A7">
        <v>6</v>
      </c>
      <c r="B7" t="s">
        <v>29</v>
      </c>
      <c r="C7" t="s">
        <v>20</v>
      </c>
      <c r="D7" t="s">
        <v>30</v>
      </c>
      <c r="E7" t="s">
        <v>22</v>
      </c>
      <c r="F7" t="s">
        <v>31</v>
      </c>
      <c r="G7" s="1">
        <v>45658</v>
      </c>
      <c r="H7" s="1">
        <v>45683</v>
      </c>
      <c r="K7" s="1" t="str">
        <f t="shared" si="1"/>
        <v/>
      </c>
      <c r="L7">
        <v>1106</v>
      </c>
      <c r="Q7" t="str">
        <f t="shared" si="0"/>
        <v/>
      </c>
    </row>
    <row r="8" spans="1:18" x14ac:dyDescent="0.2">
      <c r="A8">
        <v>7</v>
      </c>
      <c r="B8" t="s">
        <v>32</v>
      </c>
      <c r="C8" t="s">
        <v>20</v>
      </c>
      <c r="D8" t="s">
        <v>21</v>
      </c>
      <c r="E8" t="s">
        <v>33</v>
      </c>
      <c r="F8" t="s">
        <v>27</v>
      </c>
      <c r="G8" s="1">
        <v>45890</v>
      </c>
      <c r="H8" s="1">
        <v>45908</v>
      </c>
      <c r="I8" s="1">
        <v>45910</v>
      </c>
      <c r="K8" s="1" t="str">
        <f t="shared" si="1"/>
        <v/>
      </c>
      <c r="L8">
        <v>441</v>
      </c>
      <c r="Q8" t="str">
        <f t="shared" si="0"/>
        <v/>
      </c>
    </row>
    <row r="9" spans="1:18" x14ac:dyDescent="0.2">
      <c r="A9">
        <v>8</v>
      </c>
      <c r="B9" t="s">
        <v>34</v>
      </c>
      <c r="C9" t="s">
        <v>35</v>
      </c>
      <c r="D9" t="s">
        <v>21</v>
      </c>
      <c r="E9" t="s">
        <v>36</v>
      </c>
      <c r="F9" t="s">
        <v>15</v>
      </c>
      <c r="G9" s="1">
        <v>45882</v>
      </c>
      <c r="H9" s="1">
        <v>45892</v>
      </c>
      <c r="I9" s="1">
        <v>45903</v>
      </c>
      <c r="J9" s="1">
        <v>45912</v>
      </c>
      <c r="K9" s="1" t="str">
        <f t="shared" si="1"/>
        <v>Sep-2025</v>
      </c>
      <c r="L9">
        <v>577</v>
      </c>
      <c r="Q9">
        <f t="shared" si="0"/>
        <v>30</v>
      </c>
    </row>
    <row r="10" spans="1:18" x14ac:dyDescent="0.2">
      <c r="A10">
        <v>9</v>
      </c>
      <c r="B10" t="s">
        <v>37</v>
      </c>
      <c r="C10" t="s">
        <v>17</v>
      </c>
      <c r="D10" t="s">
        <v>38</v>
      </c>
      <c r="E10" t="s">
        <v>14</v>
      </c>
      <c r="F10" t="s">
        <v>27</v>
      </c>
      <c r="G10" s="1">
        <v>45810</v>
      </c>
      <c r="H10" s="1">
        <v>45821</v>
      </c>
      <c r="I10" s="1">
        <v>45834</v>
      </c>
      <c r="K10" s="1" t="str">
        <f t="shared" si="1"/>
        <v/>
      </c>
      <c r="L10">
        <v>499</v>
      </c>
      <c r="Q10" t="str">
        <f t="shared" si="0"/>
        <v/>
      </c>
    </row>
    <row r="11" spans="1:18" x14ac:dyDescent="0.2">
      <c r="A11">
        <v>10</v>
      </c>
      <c r="B11" t="s">
        <v>39</v>
      </c>
      <c r="C11" t="s">
        <v>35</v>
      </c>
      <c r="D11" t="s">
        <v>21</v>
      </c>
      <c r="E11" t="s">
        <v>33</v>
      </c>
      <c r="F11" t="s">
        <v>27</v>
      </c>
      <c r="G11" s="1">
        <v>45727</v>
      </c>
      <c r="H11" s="1">
        <v>45752</v>
      </c>
      <c r="I11" s="1">
        <v>45752</v>
      </c>
      <c r="K11" s="1" t="str">
        <f t="shared" si="1"/>
        <v/>
      </c>
      <c r="L11">
        <v>1314</v>
      </c>
      <c r="Q11" t="str">
        <f t="shared" si="0"/>
        <v/>
      </c>
    </row>
    <row r="12" spans="1:18" x14ac:dyDescent="0.2">
      <c r="A12">
        <v>11</v>
      </c>
      <c r="B12" t="s">
        <v>40</v>
      </c>
      <c r="C12" t="s">
        <v>12</v>
      </c>
      <c r="D12" t="s">
        <v>30</v>
      </c>
      <c r="E12" t="s">
        <v>22</v>
      </c>
      <c r="F12" t="s">
        <v>31</v>
      </c>
      <c r="G12" s="1">
        <v>45938</v>
      </c>
      <c r="H12" s="1">
        <v>45959</v>
      </c>
      <c r="K12" s="1" t="str">
        <f t="shared" si="1"/>
        <v/>
      </c>
      <c r="L12">
        <v>478</v>
      </c>
      <c r="Q12" t="str">
        <f t="shared" si="0"/>
        <v/>
      </c>
    </row>
    <row r="13" spans="1:18" x14ac:dyDescent="0.2">
      <c r="A13">
        <v>12</v>
      </c>
      <c r="B13" t="s">
        <v>41</v>
      </c>
      <c r="C13" t="s">
        <v>20</v>
      </c>
      <c r="D13" t="s">
        <v>30</v>
      </c>
      <c r="E13" t="s">
        <v>36</v>
      </c>
      <c r="F13" t="s">
        <v>15</v>
      </c>
      <c r="G13" s="1">
        <v>45668</v>
      </c>
      <c r="H13" s="1">
        <v>45693</v>
      </c>
      <c r="I13" s="1">
        <v>45692</v>
      </c>
      <c r="J13" s="1">
        <v>45700</v>
      </c>
      <c r="K13" s="1" t="str">
        <f t="shared" si="1"/>
        <v>Feb-2025</v>
      </c>
      <c r="L13">
        <v>1978</v>
      </c>
      <c r="Q13">
        <f t="shared" si="0"/>
        <v>32</v>
      </c>
    </row>
    <row r="14" spans="1:18" x14ac:dyDescent="0.2">
      <c r="A14">
        <v>13</v>
      </c>
      <c r="B14" t="s">
        <v>42</v>
      </c>
      <c r="C14" t="s">
        <v>25</v>
      </c>
      <c r="D14" t="s">
        <v>21</v>
      </c>
      <c r="E14" t="s">
        <v>33</v>
      </c>
      <c r="F14" t="s">
        <v>43</v>
      </c>
      <c r="G14" s="1">
        <v>45813</v>
      </c>
      <c r="K14" s="1" t="str">
        <f t="shared" si="1"/>
        <v/>
      </c>
      <c r="L14">
        <v>1138</v>
      </c>
      <c r="Q14" t="str">
        <f t="shared" si="0"/>
        <v/>
      </c>
    </row>
    <row r="15" spans="1:18" x14ac:dyDescent="0.2">
      <c r="A15">
        <v>14</v>
      </c>
      <c r="B15" t="s">
        <v>44</v>
      </c>
      <c r="C15" t="s">
        <v>12</v>
      </c>
      <c r="D15" t="s">
        <v>30</v>
      </c>
      <c r="E15" t="s">
        <v>22</v>
      </c>
      <c r="F15" t="s">
        <v>43</v>
      </c>
      <c r="G15" s="1">
        <v>45659</v>
      </c>
      <c r="K15" s="1" t="str">
        <f t="shared" si="1"/>
        <v/>
      </c>
      <c r="L15">
        <v>1543</v>
      </c>
      <c r="Q15" t="str">
        <f t="shared" si="0"/>
        <v/>
      </c>
    </row>
    <row r="16" spans="1:18" x14ac:dyDescent="0.2">
      <c r="A16">
        <v>15</v>
      </c>
      <c r="B16" t="s">
        <v>45</v>
      </c>
      <c r="C16" t="s">
        <v>46</v>
      </c>
      <c r="D16" t="s">
        <v>26</v>
      </c>
      <c r="E16" t="s">
        <v>36</v>
      </c>
      <c r="F16" t="s">
        <v>18</v>
      </c>
      <c r="G16" s="1">
        <v>45946</v>
      </c>
      <c r="H16" s="1">
        <v>45971</v>
      </c>
      <c r="K16" s="1" t="str">
        <f t="shared" si="1"/>
        <v/>
      </c>
      <c r="L16">
        <v>222</v>
      </c>
      <c r="Q16" t="str">
        <f t="shared" si="0"/>
        <v/>
      </c>
    </row>
    <row r="17" spans="1:17" x14ac:dyDescent="0.2">
      <c r="A17">
        <v>16</v>
      </c>
      <c r="B17" t="s">
        <v>47</v>
      </c>
      <c r="C17" t="s">
        <v>25</v>
      </c>
      <c r="D17" t="s">
        <v>48</v>
      </c>
      <c r="E17" t="s">
        <v>49</v>
      </c>
      <c r="F17" t="s">
        <v>43</v>
      </c>
      <c r="G17" s="1">
        <v>45818</v>
      </c>
      <c r="K17" s="1" t="str">
        <f t="shared" si="1"/>
        <v/>
      </c>
      <c r="L17">
        <v>402</v>
      </c>
      <c r="Q17" t="str">
        <f t="shared" si="0"/>
        <v/>
      </c>
    </row>
    <row r="18" spans="1:17" x14ac:dyDescent="0.2">
      <c r="A18">
        <v>17</v>
      </c>
      <c r="B18" t="s">
        <v>50</v>
      </c>
      <c r="C18" t="s">
        <v>46</v>
      </c>
      <c r="D18" t="s">
        <v>21</v>
      </c>
      <c r="E18" t="s">
        <v>22</v>
      </c>
      <c r="F18" t="s">
        <v>51</v>
      </c>
      <c r="G18" s="1">
        <v>45939</v>
      </c>
      <c r="H18" s="1">
        <v>45954</v>
      </c>
      <c r="K18" s="1" t="str">
        <f t="shared" si="1"/>
        <v/>
      </c>
      <c r="L18">
        <v>1087</v>
      </c>
      <c r="Q18" t="str">
        <f t="shared" si="0"/>
        <v/>
      </c>
    </row>
    <row r="19" spans="1:17" x14ac:dyDescent="0.2">
      <c r="A19">
        <v>18</v>
      </c>
      <c r="B19" t="s">
        <v>52</v>
      </c>
      <c r="C19" t="s">
        <v>17</v>
      </c>
      <c r="D19" t="s">
        <v>48</v>
      </c>
      <c r="E19" t="s">
        <v>14</v>
      </c>
      <c r="F19" t="s">
        <v>43</v>
      </c>
      <c r="G19" s="1">
        <v>45739</v>
      </c>
      <c r="K19" s="1" t="str">
        <f t="shared" si="1"/>
        <v/>
      </c>
      <c r="L19">
        <v>1300</v>
      </c>
      <c r="Q19" t="str">
        <f t="shared" si="0"/>
        <v/>
      </c>
    </row>
    <row r="20" spans="1:17" x14ac:dyDescent="0.2">
      <c r="A20">
        <v>19</v>
      </c>
      <c r="B20" t="s">
        <v>53</v>
      </c>
      <c r="C20" t="s">
        <v>25</v>
      </c>
      <c r="D20" t="s">
        <v>13</v>
      </c>
      <c r="E20" t="s">
        <v>49</v>
      </c>
      <c r="F20" t="s">
        <v>15</v>
      </c>
      <c r="G20" s="1">
        <v>45838</v>
      </c>
      <c r="H20" s="1">
        <v>45847</v>
      </c>
      <c r="I20" s="1">
        <v>45866</v>
      </c>
      <c r="J20" s="1">
        <v>45876</v>
      </c>
      <c r="K20" s="1" t="str">
        <f t="shared" si="1"/>
        <v>Aug-2025</v>
      </c>
      <c r="L20">
        <v>688</v>
      </c>
      <c r="Q20">
        <f t="shared" si="0"/>
        <v>38</v>
      </c>
    </row>
    <row r="21" spans="1:17" x14ac:dyDescent="0.2">
      <c r="A21">
        <v>20</v>
      </c>
      <c r="B21" t="s">
        <v>54</v>
      </c>
      <c r="C21" t="s">
        <v>12</v>
      </c>
      <c r="D21" t="s">
        <v>26</v>
      </c>
      <c r="E21" t="s">
        <v>22</v>
      </c>
      <c r="F21" t="s">
        <v>31</v>
      </c>
      <c r="G21" s="1">
        <v>45754</v>
      </c>
      <c r="H21" s="1">
        <v>45769</v>
      </c>
      <c r="K21" s="1" t="str">
        <f t="shared" si="1"/>
        <v/>
      </c>
      <c r="L21">
        <v>202</v>
      </c>
      <c r="Q21" t="str">
        <f t="shared" si="0"/>
        <v/>
      </c>
    </row>
    <row r="22" spans="1:17" x14ac:dyDescent="0.2">
      <c r="A22">
        <v>21</v>
      </c>
      <c r="B22" t="s">
        <v>55</v>
      </c>
      <c r="C22" t="s">
        <v>25</v>
      </c>
      <c r="D22" t="s">
        <v>21</v>
      </c>
      <c r="E22" t="s">
        <v>14</v>
      </c>
      <c r="F22" t="s">
        <v>31</v>
      </c>
      <c r="G22" s="1">
        <v>45723</v>
      </c>
      <c r="H22" s="1">
        <v>45748</v>
      </c>
      <c r="K22" s="1" t="str">
        <f t="shared" si="1"/>
        <v/>
      </c>
      <c r="L22">
        <v>833</v>
      </c>
      <c r="Q22" t="str">
        <f t="shared" si="0"/>
        <v/>
      </c>
    </row>
    <row r="23" spans="1:17" x14ac:dyDescent="0.2">
      <c r="A23">
        <v>22</v>
      </c>
      <c r="B23" t="s">
        <v>56</v>
      </c>
      <c r="C23" t="s">
        <v>46</v>
      </c>
      <c r="D23" t="s">
        <v>30</v>
      </c>
      <c r="E23" t="s">
        <v>36</v>
      </c>
      <c r="F23" t="s">
        <v>51</v>
      </c>
      <c r="G23" s="1">
        <v>45878</v>
      </c>
      <c r="H23" s="1">
        <v>45898</v>
      </c>
      <c r="K23" s="1" t="str">
        <f t="shared" si="1"/>
        <v/>
      </c>
      <c r="L23">
        <v>1313</v>
      </c>
      <c r="Q23" t="str">
        <f t="shared" si="0"/>
        <v/>
      </c>
    </row>
    <row r="24" spans="1:17" x14ac:dyDescent="0.2">
      <c r="A24">
        <v>23</v>
      </c>
      <c r="B24" t="s">
        <v>57</v>
      </c>
      <c r="C24" t="s">
        <v>46</v>
      </c>
      <c r="D24" t="s">
        <v>13</v>
      </c>
      <c r="E24" t="s">
        <v>33</v>
      </c>
      <c r="F24" t="s">
        <v>31</v>
      </c>
      <c r="G24" s="1">
        <v>45727</v>
      </c>
      <c r="H24" s="1">
        <v>45732</v>
      </c>
      <c r="K24" s="1" t="str">
        <f t="shared" si="1"/>
        <v/>
      </c>
      <c r="L24">
        <v>536</v>
      </c>
      <c r="Q24" t="str">
        <f t="shared" si="0"/>
        <v/>
      </c>
    </row>
    <row r="25" spans="1:17" x14ac:dyDescent="0.2">
      <c r="A25">
        <v>24</v>
      </c>
      <c r="B25" t="s">
        <v>58</v>
      </c>
      <c r="C25" t="s">
        <v>17</v>
      </c>
      <c r="D25" t="s">
        <v>26</v>
      </c>
      <c r="E25" t="s">
        <v>22</v>
      </c>
      <c r="F25" t="s">
        <v>15</v>
      </c>
      <c r="G25" s="1">
        <v>45897</v>
      </c>
      <c r="H25" s="1">
        <v>45908</v>
      </c>
      <c r="I25" s="1">
        <v>45927</v>
      </c>
      <c r="J25" s="1">
        <v>45931</v>
      </c>
      <c r="K25" s="1" t="str">
        <f t="shared" si="1"/>
        <v>Oct-2025</v>
      </c>
      <c r="L25">
        <v>599</v>
      </c>
      <c r="Q25">
        <f t="shared" si="0"/>
        <v>34</v>
      </c>
    </row>
    <row r="26" spans="1:17" x14ac:dyDescent="0.2">
      <c r="A26">
        <v>25</v>
      </c>
      <c r="B26" t="s">
        <v>59</v>
      </c>
      <c r="C26" t="s">
        <v>17</v>
      </c>
      <c r="D26" t="s">
        <v>38</v>
      </c>
      <c r="E26" t="s">
        <v>49</v>
      </c>
      <c r="F26" t="s">
        <v>23</v>
      </c>
      <c r="G26" s="1">
        <v>45662</v>
      </c>
      <c r="K26" s="1" t="str">
        <f t="shared" si="1"/>
        <v/>
      </c>
      <c r="L26">
        <v>634</v>
      </c>
      <c r="Q26" t="str">
        <f t="shared" si="0"/>
        <v/>
      </c>
    </row>
    <row r="27" spans="1:17" x14ac:dyDescent="0.2">
      <c r="A27">
        <v>26</v>
      </c>
      <c r="B27" t="s">
        <v>60</v>
      </c>
      <c r="C27" t="s">
        <v>25</v>
      </c>
      <c r="D27" t="s">
        <v>30</v>
      </c>
      <c r="E27" t="s">
        <v>36</v>
      </c>
      <c r="F27" t="s">
        <v>15</v>
      </c>
      <c r="G27" s="1">
        <v>45925</v>
      </c>
      <c r="H27" s="1">
        <v>45946</v>
      </c>
      <c r="I27" s="1">
        <v>45949</v>
      </c>
      <c r="J27" s="1">
        <v>45952</v>
      </c>
      <c r="K27" s="1" t="str">
        <f t="shared" si="1"/>
        <v>Oct-2025</v>
      </c>
      <c r="L27">
        <v>655</v>
      </c>
      <c r="Q27">
        <f t="shared" si="0"/>
        <v>27</v>
      </c>
    </row>
    <row r="28" spans="1:17" x14ac:dyDescent="0.2">
      <c r="A28">
        <v>27</v>
      </c>
      <c r="B28" t="s">
        <v>61</v>
      </c>
      <c r="C28" t="s">
        <v>35</v>
      </c>
      <c r="D28" t="s">
        <v>26</v>
      </c>
      <c r="E28" t="s">
        <v>49</v>
      </c>
      <c r="F28" t="s">
        <v>23</v>
      </c>
      <c r="G28" s="1">
        <v>45713</v>
      </c>
      <c r="K28" s="1" t="str">
        <f t="shared" si="1"/>
        <v/>
      </c>
      <c r="L28">
        <v>1661</v>
      </c>
      <c r="Q28" t="str">
        <f t="shared" si="0"/>
        <v/>
      </c>
    </row>
    <row r="29" spans="1:17" x14ac:dyDescent="0.2">
      <c r="A29">
        <v>28</v>
      </c>
      <c r="B29" t="s">
        <v>62</v>
      </c>
      <c r="C29" t="s">
        <v>35</v>
      </c>
      <c r="D29" t="s">
        <v>48</v>
      </c>
      <c r="E29" t="s">
        <v>49</v>
      </c>
      <c r="F29" t="s">
        <v>27</v>
      </c>
      <c r="G29" s="1">
        <v>45714</v>
      </c>
      <c r="H29" s="1">
        <v>45723</v>
      </c>
      <c r="I29" s="1">
        <v>45752</v>
      </c>
      <c r="K29" s="1" t="str">
        <f t="shared" si="1"/>
        <v/>
      </c>
      <c r="L29">
        <v>1842</v>
      </c>
      <c r="Q29" t="str">
        <f t="shared" si="0"/>
        <v/>
      </c>
    </row>
    <row r="30" spans="1:17" x14ac:dyDescent="0.2">
      <c r="A30">
        <v>29</v>
      </c>
      <c r="B30" t="s">
        <v>63</v>
      </c>
      <c r="C30" t="s">
        <v>35</v>
      </c>
      <c r="D30" t="s">
        <v>38</v>
      </c>
      <c r="E30" t="s">
        <v>14</v>
      </c>
      <c r="F30" t="s">
        <v>23</v>
      </c>
      <c r="G30" s="1">
        <v>45914</v>
      </c>
      <c r="K30" s="1" t="str">
        <f t="shared" si="1"/>
        <v/>
      </c>
      <c r="L30">
        <v>540</v>
      </c>
      <c r="Q30" t="str">
        <f t="shared" si="0"/>
        <v/>
      </c>
    </row>
    <row r="31" spans="1:17" x14ac:dyDescent="0.2">
      <c r="A31">
        <v>30</v>
      </c>
      <c r="B31" t="s">
        <v>64</v>
      </c>
      <c r="C31" t="s">
        <v>20</v>
      </c>
      <c r="D31" t="s">
        <v>30</v>
      </c>
      <c r="E31" t="s">
        <v>33</v>
      </c>
      <c r="F31" t="s">
        <v>51</v>
      </c>
      <c r="G31" s="1">
        <v>45936</v>
      </c>
      <c r="H31" s="1">
        <v>45954</v>
      </c>
      <c r="K31" s="1" t="str">
        <f t="shared" si="1"/>
        <v/>
      </c>
      <c r="L31">
        <v>736</v>
      </c>
      <c r="Q31" t="str">
        <f t="shared" si="0"/>
        <v/>
      </c>
    </row>
    <row r="32" spans="1:17" x14ac:dyDescent="0.2">
      <c r="A32">
        <v>31</v>
      </c>
      <c r="B32" t="s">
        <v>65</v>
      </c>
      <c r="C32" t="s">
        <v>17</v>
      </c>
      <c r="D32" t="s">
        <v>38</v>
      </c>
      <c r="E32" t="s">
        <v>22</v>
      </c>
      <c r="F32" t="s">
        <v>18</v>
      </c>
      <c r="G32" s="1">
        <v>45770</v>
      </c>
      <c r="H32" s="1">
        <v>45776</v>
      </c>
      <c r="K32" s="1" t="str">
        <f t="shared" si="1"/>
        <v/>
      </c>
      <c r="L32">
        <v>1837</v>
      </c>
      <c r="Q32" t="str">
        <f t="shared" si="0"/>
        <v/>
      </c>
    </row>
    <row r="33" spans="1:17" x14ac:dyDescent="0.2">
      <c r="A33">
        <v>32</v>
      </c>
      <c r="B33" t="s">
        <v>66</v>
      </c>
      <c r="C33" t="s">
        <v>20</v>
      </c>
      <c r="D33" t="s">
        <v>30</v>
      </c>
      <c r="E33" t="s">
        <v>49</v>
      </c>
      <c r="F33" t="s">
        <v>18</v>
      </c>
      <c r="G33" s="1">
        <v>45811</v>
      </c>
      <c r="H33" s="1">
        <v>45824</v>
      </c>
      <c r="K33" s="1" t="str">
        <f t="shared" si="1"/>
        <v/>
      </c>
      <c r="L33">
        <v>712</v>
      </c>
      <c r="Q33" t="str">
        <f t="shared" si="0"/>
        <v/>
      </c>
    </row>
    <row r="34" spans="1:17" x14ac:dyDescent="0.2">
      <c r="A34">
        <v>33</v>
      </c>
      <c r="B34" t="s">
        <v>67</v>
      </c>
      <c r="C34" t="s">
        <v>17</v>
      </c>
      <c r="D34" t="s">
        <v>26</v>
      </c>
      <c r="E34" t="s">
        <v>22</v>
      </c>
      <c r="F34" t="s">
        <v>15</v>
      </c>
      <c r="G34" s="1">
        <v>45799</v>
      </c>
      <c r="H34" s="1">
        <v>45811</v>
      </c>
      <c r="I34" s="1">
        <v>45839</v>
      </c>
      <c r="J34" s="1">
        <v>45849</v>
      </c>
      <c r="K34" s="1" t="str">
        <f t="shared" si="1"/>
        <v>Jul-2025</v>
      </c>
      <c r="L34">
        <v>424</v>
      </c>
      <c r="Q34">
        <f t="shared" si="0"/>
        <v>50</v>
      </c>
    </row>
    <row r="35" spans="1:17" x14ac:dyDescent="0.2">
      <c r="A35">
        <v>34</v>
      </c>
      <c r="B35" t="s">
        <v>68</v>
      </c>
      <c r="C35" t="s">
        <v>12</v>
      </c>
      <c r="D35" t="s">
        <v>30</v>
      </c>
      <c r="E35" t="s">
        <v>33</v>
      </c>
      <c r="F35" t="s">
        <v>31</v>
      </c>
      <c r="G35" s="1">
        <v>45822</v>
      </c>
      <c r="H35" s="1">
        <v>45839</v>
      </c>
      <c r="K35" s="1" t="str">
        <f t="shared" si="1"/>
        <v/>
      </c>
      <c r="L35">
        <v>1482</v>
      </c>
      <c r="Q35" t="str">
        <f t="shared" si="0"/>
        <v/>
      </c>
    </row>
    <row r="36" spans="1:17" x14ac:dyDescent="0.2">
      <c r="A36">
        <v>35</v>
      </c>
      <c r="B36" t="s">
        <v>69</v>
      </c>
      <c r="C36" t="s">
        <v>35</v>
      </c>
      <c r="D36" t="s">
        <v>30</v>
      </c>
      <c r="E36" t="s">
        <v>49</v>
      </c>
      <c r="F36" t="s">
        <v>51</v>
      </c>
      <c r="G36" s="1">
        <v>45660</v>
      </c>
      <c r="H36" s="1">
        <v>45671</v>
      </c>
      <c r="K36" s="1" t="str">
        <f t="shared" si="1"/>
        <v/>
      </c>
      <c r="L36">
        <v>1544</v>
      </c>
      <c r="Q36" t="str">
        <f t="shared" si="0"/>
        <v/>
      </c>
    </row>
    <row r="37" spans="1:17" x14ac:dyDescent="0.2">
      <c r="A37">
        <v>36</v>
      </c>
      <c r="B37" t="s">
        <v>70</v>
      </c>
      <c r="C37" t="s">
        <v>35</v>
      </c>
      <c r="D37" t="s">
        <v>30</v>
      </c>
      <c r="E37" t="s">
        <v>36</v>
      </c>
      <c r="F37" t="s">
        <v>23</v>
      </c>
      <c r="G37" s="1">
        <v>45683</v>
      </c>
      <c r="K37" s="1" t="str">
        <f t="shared" si="1"/>
        <v/>
      </c>
      <c r="L37">
        <v>1128</v>
      </c>
      <c r="Q37" t="str">
        <f t="shared" si="0"/>
        <v/>
      </c>
    </row>
    <row r="38" spans="1:17" x14ac:dyDescent="0.2">
      <c r="A38">
        <v>37</v>
      </c>
      <c r="B38" t="s">
        <v>71</v>
      </c>
      <c r="C38" t="s">
        <v>17</v>
      </c>
      <c r="D38" t="s">
        <v>30</v>
      </c>
      <c r="E38" t="s">
        <v>14</v>
      </c>
      <c r="F38" t="s">
        <v>23</v>
      </c>
      <c r="G38" s="1">
        <v>45690</v>
      </c>
      <c r="K38" s="1" t="str">
        <f t="shared" si="1"/>
        <v/>
      </c>
      <c r="L38">
        <v>938</v>
      </c>
      <c r="Q38" t="str">
        <f t="shared" si="0"/>
        <v/>
      </c>
    </row>
    <row r="39" spans="1:17" x14ac:dyDescent="0.2">
      <c r="A39">
        <v>38</v>
      </c>
      <c r="B39" t="s">
        <v>72</v>
      </c>
      <c r="C39" t="s">
        <v>20</v>
      </c>
      <c r="D39" t="s">
        <v>48</v>
      </c>
      <c r="E39" t="s">
        <v>33</v>
      </c>
      <c r="F39" t="s">
        <v>43</v>
      </c>
      <c r="G39" s="1">
        <v>45749</v>
      </c>
      <c r="K39" s="1" t="str">
        <f t="shared" si="1"/>
        <v/>
      </c>
      <c r="L39">
        <v>1037</v>
      </c>
      <c r="Q39" t="str">
        <f t="shared" si="0"/>
        <v/>
      </c>
    </row>
    <row r="40" spans="1:17" x14ac:dyDescent="0.2">
      <c r="A40">
        <v>39</v>
      </c>
      <c r="B40" t="s">
        <v>73</v>
      </c>
      <c r="C40" t="s">
        <v>17</v>
      </c>
      <c r="D40" t="s">
        <v>48</v>
      </c>
      <c r="E40" t="s">
        <v>14</v>
      </c>
      <c r="F40" t="s">
        <v>18</v>
      </c>
      <c r="G40" s="1">
        <v>45676</v>
      </c>
      <c r="H40" s="1">
        <v>45688</v>
      </c>
      <c r="K40" s="1" t="str">
        <f t="shared" si="1"/>
        <v/>
      </c>
      <c r="L40">
        <v>631</v>
      </c>
      <c r="Q40" t="str">
        <f t="shared" si="0"/>
        <v/>
      </c>
    </row>
    <row r="41" spans="1:17" x14ac:dyDescent="0.2">
      <c r="A41">
        <v>40</v>
      </c>
      <c r="B41" t="s">
        <v>74</v>
      </c>
      <c r="C41" t="s">
        <v>20</v>
      </c>
      <c r="D41" t="s">
        <v>13</v>
      </c>
      <c r="E41" t="s">
        <v>22</v>
      </c>
      <c r="F41" t="s">
        <v>51</v>
      </c>
      <c r="G41" s="1">
        <v>45792</v>
      </c>
      <c r="H41" s="1">
        <v>45798</v>
      </c>
      <c r="K41" s="1" t="str">
        <f t="shared" si="1"/>
        <v/>
      </c>
      <c r="L41">
        <v>1910</v>
      </c>
      <c r="Q41" t="str">
        <f t="shared" si="0"/>
        <v/>
      </c>
    </row>
    <row r="42" spans="1:17" x14ac:dyDescent="0.2">
      <c r="A42">
        <v>41</v>
      </c>
      <c r="B42" t="s">
        <v>75</v>
      </c>
      <c r="C42" t="s">
        <v>25</v>
      </c>
      <c r="D42" t="s">
        <v>13</v>
      </c>
      <c r="E42" t="s">
        <v>14</v>
      </c>
      <c r="F42" t="s">
        <v>18</v>
      </c>
      <c r="G42" s="1">
        <v>45711</v>
      </c>
      <c r="H42" s="1">
        <v>45733</v>
      </c>
      <c r="K42" s="1" t="str">
        <f t="shared" si="1"/>
        <v/>
      </c>
      <c r="L42">
        <v>1949</v>
      </c>
      <c r="Q42" t="str">
        <f t="shared" si="0"/>
        <v/>
      </c>
    </row>
    <row r="43" spans="1:17" x14ac:dyDescent="0.2">
      <c r="A43">
        <v>42</v>
      </c>
      <c r="B43" t="s">
        <v>76</v>
      </c>
      <c r="C43" t="s">
        <v>25</v>
      </c>
      <c r="D43" t="s">
        <v>26</v>
      </c>
      <c r="E43" t="s">
        <v>22</v>
      </c>
      <c r="F43" t="s">
        <v>27</v>
      </c>
      <c r="G43" s="1">
        <v>45896</v>
      </c>
      <c r="H43" s="1">
        <v>45902</v>
      </c>
      <c r="I43" s="1">
        <v>45935</v>
      </c>
      <c r="K43" s="1" t="str">
        <f t="shared" si="1"/>
        <v/>
      </c>
      <c r="L43">
        <v>1296</v>
      </c>
      <c r="Q43" t="str">
        <f t="shared" si="0"/>
        <v/>
      </c>
    </row>
    <row r="44" spans="1:17" x14ac:dyDescent="0.2">
      <c r="A44">
        <v>43</v>
      </c>
      <c r="B44" t="s">
        <v>77</v>
      </c>
      <c r="C44" t="s">
        <v>35</v>
      </c>
      <c r="D44" t="s">
        <v>21</v>
      </c>
      <c r="E44" t="s">
        <v>22</v>
      </c>
      <c r="F44" t="s">
        <v>31</v>
      </c>
      <c r="G44" s="1">
        <v>45898</v>
      </c>
      <c r="H44" s="1">
        <v>45908</v>
      </c>
      <c r="K44" s="1" t="str">
        <f t="shared" si="1"/>
        <v/>
      </c>
      <c r="L44">
        <v>1150</v>
      </c>
      <c r="Q44" t="str">
        <f t="shared" si="0"/>
        <v/>
      </c>
    </row>
    <row r="45" spans="1:17" x14ac:dyDescent="0.2">
      <c r="A45">
        <v>44</v>
      </c>
      <c r="B45" t="s">
        <v>78</v>
      </c>
      <c r="C45" t="s">
        <v>46</v>
      </c>
      <c r="D45" t="s">
        <v>48</v>
      </c>
      <c r="E45" t="s">
        <v>49</v>
      </c>
      <c r="F45" t="s">
        <v>15</v>
      </c>
      <c r="G45" s="1">
        <v>45684</v>
      </c>
      <c r="H45" s="1">
        <v>45702</v>
      </c>
      <c r="I45" s="1">
        <v>45709</v>
      </c>
      <c r="J45" s="1">
        <v>45715</v>
      </c>
      <c r="K45" s="1" t="str">
        <f t="shared" si="1"/>
        <v>Feb-2025</v>
      </c>
      <c r="L45">
        <v>742</v>
      </c>
      <c r="Q45">
        <f t="shared" si="0"/>
        <v>31</v>
      </c>
    </row>
    <row r="46" spans="1:17" x14ac:dyDescent="0.2">
      <c r="A46">
        <v>45</v>
      </c>
      <c r="B46" t="s">
        <v>79</v>
      </c>
      <c r="C46" t="s">
        <v>12</v>
      </c>
      <c r="D46" t="s">
        <v>21</v>
      </c>
      <c r="E46" t="s">
        <v>22</v>
      </c>
      <c r="F46" t="s">
        <v>27</v>
      </c>
      <c r="G46" s="1">
        <v>45882</v>
      </c>
      <c r="H46" s="1">
        <v>45892</v>
      </c>
      <c r="I46" s="1">
        <v>45920</v>
      </c>
      <c r="K46" s="1" t="str">
        <f t="shared" si="1"/>
        <v/>
      </c>
      <c r="L46">
        <v>290</v>
      </c>
      <c r="Q46" t="str">
        <f t="shared" si="0"/>
        <v/>
      </c>
    </row>
    <row r="47" spans="1:17" x14ac:dyDescent="0.2">
      <c r="A47">
        <v>46</v>
      </c>
      <c r="B47" t="s">
        <v>80</v>
      </c>
      <c r="C47" t="s">
        <v>17</v>
      </c>
      <c r="D47" t="s">
        <v>48</v>
      </c>
      <c r="E47" t="s">
        <v>22</v>
      </c>
      <c r="F47" t="s">
        <v>31</v>
      </c>
      <c r="G47" s="1">
        <v>45926</v>
      </c>
      <c r="H47" s="1">
        <v>45939</v>
      </c>
      <c r="K47" s="1" t="str">
        <f t="shared" si="1"/>
        <v/>
      </c>
      <c r="L47">
        <v>681</v>
      </c>
      <c r="Q47" t="str">
        <f t="shared" si="0"/>
        <v/>
      </c>
    </row>
    <row r="48" spans="1:17" x14ac:dyDescent="0.2">
      <c r="A48">
        <v>47</v>
      </c>
      <c r="B48" t="s">
        <v>81</v>
      </c>
      <c r="C48" t="s">
        <v>25</v>
      </c>
      <c r="D48" t="s">
        <v>30</v>
      </c>
      <c r="E48" t="s">
        <v>33</v>
      </c>
      <c r="F48" t="s">
        <v>51</v>
      </c>
      <c r="G48" s="1">
        <v>45932</v>
      </c>
      <c r="H48" s="1">
        <v>45955</v>
      </c>
      <c r="K48" s="1" t="str">
        <f t="shared" si="1"/>
        <v/>
      </c>
      <c r="L48">
        <v>1025</v>
      </c>
      <c r="Q48" t="str">
        <f t="shared" si="0"/>
        <v/>
      </c>
    </row>
    <row r="49" spans="1:17" x14ac:dyDescent="0.2">
      <c r="A49">
        <v>48</v>
      </c>
      <c r="B49" t="s">
        <v>82</v>
      </c>
      <c r="C49" t="s">
        <v>25</v>
      </c>
      <c r="D49" t="s">
        <v>38</v>
      </c>
      <c r="E49" t="s">
        <v>36</v>
      </c>
      <c r="F49" t="s">
        <v>43</v>
      </c>
      <c r="G49" s="1">
        <v>45924</v>
      </c>
      <c r="K49" s="1" t="str">
        <f t="shared" si="1"/>
        <v/>
      </c>
      <c r="L49">
        <v>247</v>
      </c>
      <c r="Q49" t="str">
        <f t="shared" si="0"/>
        <v/>
      </c>
    </row>
    <row r="50" spans="1:17" x14ac:dyDescent="0.2">
      <c r="A50">
        <v>49</v>
      </c>
      <c r="B50" t="s">
        <v>83</v>
      </c>
      <c r="C50" t="s">
        <v>25</v>
      </c>
      <c r="D50" t="s">
        <v>21</v>
      </c>
      <c r="E50" t="s">
        <v>14</v>
      </c>
      <c r="F50" t="s">
        <v>18</v>
      </c>
      <c r="G50" s="1">
        <v>45721</v>
      </c>
      <c r="H50" s="1">
        <v>45737</v>
      </c>
      <c r="K50" s="1" t="str">
        <f t="shared" si="1"/>
        <v/>
      </c>
      <c r="L50">
        <v>539</v>
      </c>
      <c r="Q50" t="str">
        <f t="shared" si="0"/>
        <v/>
      </c>
    </row>
    <row r="51" spans="1:17" x14ac:dyDescent="0.2">
      <c r="A51">
        <v>50</v>
      </c>
      <c r="B51" t="s">
        <v>84</v>
      </c>
      <c r="C51" t="s">
        <v>20</v>
      </c>
      <c r="D51" t="s">
        <v>13</v>
      </c>
      <c r="E51" t="s">
        <v>33</v>
      </c>
      <c r="F51" t="s">
        <v>23</v>
      </c>
      <c r="G51" s="1">
        <v>45843</v>
      </c>
      <c r="K51" s="1" t="str">
        <f t="shared" si="1"/>
        <v/>
      </c>
      <c r="L51">
        <v>1005</v>
      </c>
      <c r="Q51" t="str">
        <f t="shared" si="0"/>
        <v/>
      </c>
    </row>
    <row r="52" spans="1:17" x14ac:dyDescent="0.2">
      <c r="A52">
        <v>51</v>
      </c>
      <c r="B52" t="s">
        <v>85</v>
      </c>
      <c r="C52" t="s">
        <v>25</v>
      </c>
      <c r="D52" t="s">
        <v>21</v>
      </c>
      <c r="E52" t="s">
        <v>22</v>
      </c>
      <c r="F52" t="s">
        <v>15</v>
      </c>
      <c r="G52" s="1">
        <v>45737</v>
      </c>
      <c r="H52" s="1">
        <v>45758</v>
      </c>
      <c r="I52" s="1">
        <v>45774</v>
      </c>
      <c r="J52" s="1">
        <v>45782</v>
      </c>
      <c r="K52" s="1" t="str">
        <f t="shared" si="1"/>
        <v>May-2025</v>
      </c>
      <c r="L52">
        <v>1351</v>
      </c>
      <c r="Q52">
        <f t="shared" si="0"/>
        <v>45</v>
      </c>
    </row>
    <row r="53" spans="1:17" x14ac:dyDescent="0.2">
      <c r="A53">
        <v>52</v>
      </c>
      <c r="B53" t="s">
        <v>86</v>
      </c>
      <c r="C53" t="s">
        <v>12</v>
      </c>
      <c r="D53" t="s">
        <v>21</v>
      </c>
      <c r="E53" t="s">
        <v>22</v>
      </c>
      <c r="F53" t="s">
        <v>18</v>
      </c>
      <c r="G53" s="1">
        <v>45791</v>
      </c>
      <c r="H53" s="1">
        <v>45799</v>
      </c>
      <c r="K53" s="1" t="str">
        <f t="shared" si="1"/>
        <v/>
      </c>
      <c r="L53">
        <v>220</v>
      </c>
      <c r="Q53" t="str">
        <f t="shared" si="0"/>
        <v/>
      </c>
    </row>
    <row r="54" spans="1:17" x14ac:dyDescent="0.2">
      <c r="A54">
        <v>53</v>
      </c>
      <c r="B54" t="s">
        <v>87</v>
      </c>
      <c r="C54" t="s">
        <v>12</v>
      </c>
      <c r="D54" t="s">
        <v>30</v>
      </c>
      <c r="E54" t="s">
        <v>22</v>
      </c>
      <c r="F54" t="s">
        <v>31</v>
      </c>
      <c r="G54" s="1">
        <v>45685</v>
      </c>
      <c r="H54" s="1">
        <v>45698</v>
      </c>
      <c r="K54" s="1" t="str">
        <f t="shared" si="1"/>
        <v/>
      </c>
      <c r="L54">
        <v>1350</v>
      </c>
      <c r="Q54" t="str">
        <f t="shared" si="0"/>
        <v/>
      </c>
    </row>
    <row r="55" spans="1:17" x14ac:dyDescent="0.2">
      <c r="A55">
        <v>54</v>
      </c>
      <c r="B55" t="s">
        <v>88</v>
      </c>
      <c r="C55" t="s">
        <v>20</v>
      </c>
      <c r="D55" t="s">
        <v>30</v>
      </c>
      <c r="E55" t="s">
        <v>49</v>
      </c>
      <c r="F55" t="s">
        <v>51</v>
      </c>
      <c r="G55" s="1">
        <v>45681</v>
      </c>
      <c r="H55" s="1">
        <v>45706</v>
      </c>
      <c r="K55" s="1" t="str">
        <f t="shared" si="1"/>
        <v/>
      </c>
      <c r="L55">
        <v>1153</v>
      </c>
      <c r="Q55" t="str">
        <f t="shared" si="0"/>
        <v/>
      </c>
    </row>
    <row r="56" spans="1:17" x14ac:dyDescent="0.2">
      <c r="A56">
        <v>55</v>
      </c>
      <c r="B56" t="s">
        <v>89</v>
      </c>
      <c r="C56" t="s">
        <v>17</v>
      </c>
      <c r="D56" t="s">
        <v>26</v>
      </c>
      <c r="E56" t="s">
        <v>14</v>
      </c>
      <c r="F56" t="s">
        <v>43</v>
      </c>
      <c r="G56" s="1">
        <v>45872</v>
      </c>
      <c r="K56" s="1" t="str">
        <f t="shared" si="1"/>
        <v/>
      </c>
      <c r="L56">
        <v>1143</v>
      </c>
      <c r="Q56" t="str">
        <f t="shared" si="0"/>
        <v/>
      </c>
    </row>
    <row r="57" spans="1:17" x14ac:dyDescent="0.2">
      <c r="A57">
        <v>56</v>
      </c>
      <c r="B57" t="s">
        <v>90</v>
      </c>
      <c r="C57" t="s">
        <v>20</v>
      </c>
      <c r="D57" t="s">
        <v>30</v>
      </c>
      <c r="E57" t="s">
        <v>14</v>
      </c>
      <c r="F57" t="s">
        <v>23</v>
      </c>
      <c r="G57" s="1">
        <v>45890</v>
      </c>
      <c r="K57" s="1" t="str">
        <f t="shared" si="1"/>
        <v/>
      </c>
      <c r="L57">
        <v>1064</v>
      </c>
      <c r="Q57" t="str">
        <f t="shared" si="0"/>
        <v/>
      </c>
    </row>
    <row r="58" spans="1:17" x14ac:dyDescent="0.2">
      <c r="A58">
        <v>57</v>
      </c>
      <c r="B58" t="s">
        <v>91</v>
      </c>
      <c r="C58" t="s">
        <v>25</v>
      </c>
      <c r="D58" t="s">
        <v>13</v>
      </c>
      <c r="E58" t="s">
        <v>49</v>
      </c>
      <c r="F58" t="s">
        <v>31</v>
      </c>
      <c r="G58" s="1">
        <v>45746</v>
      </c>
      <c r="H58" s="1">
        <v>45755</v>
      </c>
      <c r="K58" s="1" t="str">
        <f t="shared" si="1"/>
        <v/>
      </c>
      <c r="L58">
        <v>1804</v>
      </c>
      <c r="Q58" t="str">
        <f t="shared" si="0"/>
        <v/>
      </c>
    </row>
    <row r="59" spans="1:17" x14ac:dyDescent="0.2">
      <c r="A59">
        <v>58</v>
      </c>
      <c r="B59" t="s">
        <v>92</v>
      </c>
      <c r="C59" t="s">
        <v>12</v>
      </c>
      <c r="D59" t="s">
        <v>21</v>
      </c>
      <c r="E59" t="s">
        <v>49</v>
      </c>
      <c r="F59" t="s">
        <v>51</v>
      </c>
      <c r="G59" s="1">
        <v>45914</v>
      </c>
      <c r="H59" s="1">
        <v>45925</v>
      </c>
      <c r="K59" s="1" t="str">
        <f t="shared" si="1"/>
        <v/>
      </c>
      <c r="L59">
        <v>1536</v>
      </c>
      <c r="Q59" t="str">
        <f t="shared" si="0"/>
        <v/>
      </c>
    </row>
    <row r="60" spans="1:17" x14ac:dyDescent="0.2">
      <c r="A60">
        <v>59</v>
      </c>
      <c r="B60" t="s">
        <v>93</v>
      </c>
      <c r="C60" t="s">
        <v>46</v>
      </c>
      <c r="D60" t="s">
        <v>21</v>
      </c>
      <c r="E60" t="s">
        <v>49</v>
      </c>
      <c r="F60" t="s">
        <v>15</v>
      </c>
      <c r="G60" s="1">
        <v>45755</v>
      </c>
      <c r="H60" s="1">
        <v>45777</v>
      </c>
      <c r="I60" s="1">
        <v>45792</v>
      </c>
      <c r="J60" s="1">
        <v>45801</v>
      </c>
      <c r="K60" s="1" t="str">
        <f t="shared" si="1"/>
        <v>May-2025</v>
      </c>
      <c r="L60">
        <v>1032</v>
      </c>
      <c r="Q60">
        <f t="shared" si="0"/>
        <v>46</v>
      </c>
    </row>
    <row r="61" spans="1:17" x14ac:dyDescent="0.2">
      <c r="A61">
        <v>60</v>
      </c>
      <c r="B61" t="s">
        <v>94</v>
      </c>
      <c r="C61" t="s">
        <v>25</v>
      </c>
      <c r="D61" t="s">
        <v>38</v>
      </c>
      <c r="E61" t="s">
        <v>33</v>
      </c>
      <c r="F61" t="s">
        <v>51</v>
      </c>
      <c r="G61" s="1">
        <v>45844</v>
      </c>
      <c r="H61" s="1">
        <v>45852</v>
      </c>
      <c r="K61" s="1" t="str">
        <f t="shared" si="1"/>
        <v/>
      </c>
      <c r="L61">
        <v>1833</v>
      </c>
      <c r="Q61" t="str">
        <f t="shared" si="0"/>
        <v/>
      </c>
    </row>
    <row r="62" spans="1:17" x14ac:dyDescent="0.2">
      <c r="A62">
        <v>61</v>
      </c>
      <c r="B62" t="s">
        <v>95</v>
      </c>
      <c r="C62" t="s">
        <v>46</v>
      </c>
      <c r="D62" t="s">
        <v>26</v>
      </c>
      <c r="E62" t="s">
        <v>36</v>
      </c>
      <c r="F62" t="s">
        <v>51</v>
      </c>
      <c r="G62" s="1">
        <v>45947</v>
      </c>
      <c r="H62" s="1">
        <v>45966</v>
      </c>
      <c r="K62" s="1" t="str">
        <f t="shared" si="1"/>
        <v/>
      </c>
      <c r="L62">
        <v>891</v>
      </c>
      <c r="Q62" t="str">
        <f t="shared" si="0"/>
        <v/>
      </c>
    </row>
    <row r="63" spans="1:17" x14ac:dyDescent="0.2">
      <c r="A63">
        <v>62</v>
      </c>
      <c r="B63" t="s">
        <v>96</v>
      </c>
      <c r="C63" t="s">
        <v>25</v>
      </c>
      <c r="D63" t="s">
        <v>30</v>
      </c>
      <c r="E63" t="s">
        <v>33</v>
      </c>
      <c r="F63" t="s">
        <v>51</v>
      </c>
      <c r="G63" s="1">
        <v>45775</v>
      </c>
      <c r="H63" s="1">
        <v>45782</v>
      </c>
      <c r="K63" s="1" t="str">
        <f t="shared" si="1"/>
        <v/>
      </c>
      <c r="L63">
        <v>1112</v>
      </c>
      <c r="Q63" t="str">
        <f t="shared" si="0"/>
        <v/>
      </c>
    </row>
    <row r="64" spans="1:17" x14ac:dyDescent="0.2">
      <c r="A64">
        <v>63</v>
      </c>
      <c r="B64" t="s">
        <v>97</v>
      </c>
      <c r="C64" t="s">
        <v>25</v>
      </c>
      <c r="D64" t="s">
        <v>13</v>
      </c>
      <c r="E64" t="s">
        <v>22</v>
      </c>
      <c r="F64" t="s">
        <v>18</v>
      </c>
      <c r="G64" s="1">
        <v>45703</v>
      </c>
      <c r="H64" s="1">
        <v>45715</v>
      </c>
      <c r="K64" s="1" t="str">
        <f t="shared" si="1"/>
        <v/>
      </c>
      <c r="L64">
        <v>896</v>
      </c>
      <c r="Q64" t="str">
        <f t="shared" si="0"/>
        <v/>
      </c>
    </row>
    <row r="65" spans="1:17" x14ac:dyDescent="0.2">
      <c r="A65">
        <v>64</v>
      </c>
      <c r="B65" t="s">
        <v>98</v>
      </c>
      <c r="C65" t="s">
        <v>25</v>
      </c>
      <c r="D65" t="s">
        <v>48</v>
      </c>
      <c r="E65" t="s">
        <v>22</v>
      </c>
      <c r="F65" t="s">
        <v>43</v>
      </c>
      <c r="G65" s="1">
        <v>45953</v>
      </c>
      <c r="K65" s="1" t="str">
        <f t="shared" si="1"/>
        <v/>
      </c>
      <c r="L65">
        <v>1980</v>
      </c>
      <c r="Q65" t="str">
        <f t="shared" si="0"/>
        <v/>
      </c>
    </row>
    <row r="66" spans="1:17" x14ac:dyDescent="0.2">
      <c r="A66">
        <v>65</v>
      </c>
      <c r="B66" t="s">
        <v>99</v>
      </c>
      <c r="C66" t="s">
        <v>12</v>
      </c>
      <c r="D66" t="s">
        <v>30</v>
      </c>
      <c r="E66" t="s">
        <v>22</v>
      </c>
      <c r="F66" t="s">
        <v>15</v>
      </c>
      <c r="G66" s="1">
        <v>45893</v>
      </c>
      <c r="H66" s="1">
        <v>45903</v>
      </c>
      <c r="I66" s="1">
        <v>45917</v>
      </c>
      <c r="J66" s="1">
        <v>45927</v>
      </c>
      <c r="K66" s="1" t="str">
        <f t="shared" si="1"/>
        <v>Sep-2025</v>
      </c>
      <c r="L66">
        <v>1402</v>
      </c>
      <c r="Q66">
        <f t="shared" ref="Q66:Q129" si="2">IF(J66="","",J66-G66)</f>
        <v>34</v>
      </c>
    </row>
    <row r="67" spans="1:17" x14ac:dyDescent="0.2">
      <c r="A67">
        <v>66</v>
      </c>
      <c r="B67" t="s">
        <v>100</v>
      </c>
      <c r="C67" t="s">
        <v>20</v>
      </c>
      <c r="D67" t="s">
        <v>26</v>
      </c>
      <c r="E67" t="s">
        <v>36</v>
      </c>
      <c r="F67" t="s">
        <v>23</v>
      </c>
      <c r="G67" s="1">
        <v>45861</v>
      </c>
      <c r="K67" s="1" t="str">
        <f t="shared" ref="K67:K130" si="3">IF(J67="","",TEXT(J67,"mmm-yyyy"))</f>
        <v/>
      </c>
      <c r="L67">
        <v>1446</v>
      </c>
      <c r="Q67" t="str">
        <f t="shared" si="2"/>
        <v/>
      </c>
    </row>
    <row r="68" spans="1:17" x14ac:dyDescent="0.2">
      <c r="A68">
        <v>67</v>
      </c>
      <c r="B68" t="s">
        <v>101</v>
      </c>
      <c r="C68" t="s">
        <v>20</v>
      </c>
      <c r="D68" t="s">
        <v>38</v>
      </c>
      <c r="E68" t="s">
        <v>33</v>
      </c>
      <c r="F68" t="s">
        <v>18</v>
      </c>
      <c r="G68" s="1">
        <v>45835</v>
      </c>
      <c r="H68" s="1">
        <v>45854</v>
      </c>
      <c r="K68" s="1" t="str">
        <f t="shared" si="3"/>
        <v/>
      </c>
      <c r="L68">
        <v>1777</v>
      </c>
      <c r="Q68" t="str">
        <f t="shared" si="2"/>
        <v/>
      </c>
    </row>
    <row r="69" spans="1:17" x14ac:dyDescent="0.2">
      <c r="A69">
        <v>68</v>
      </c>
      <c r="B69" t="s">
        <v>102</v>
      </c>
      <c r="C69" t="s">
        <v>17</v>
      </c>
      <c r="D69" t="s">
        <v>26</v>
      </c>
      <c r="E69" t="s">
        <v>49</v>
      </c>
      <c r="F69" t="s">
        <v>31</v>
      </c>
      <c r="G69" s="1">
        <v>45673</v>
      </c>
      <c r="H69" s="1">
        <v>45685</v>
      </c>
      <c r="K69" s="1" t="str">
        <f t="shared" si="3"/>
        <v/>
      </c>
      <c r="L69">
        <v>231</v>
      </c>
      <c r="Q69" t="str">
        <f t="shared" si="2"/>
        <v/>
      </c>
    </row>
    <row r="70" spans="1:17" x14ac:dyDescent="0.2">
      <c r="A70">
        <v>69</v>
      </c>
      <c r="B70" t="s">
        <v>103</v>
      </c>
      <c r="C70" t="s">
        <v>35</v>
      </c>
      <c r="D70" t="s">
        <v>21</v>
      </c>
      <c r="E70" t="s">
        <v>49</v>
      </c>
      <c r="F70" t="s">
        <v>15</v>
      </c>
      <c r="G70" s="1">
        <v>45679</v>
      </c>
      <c r="H70" s="1">
        <v>45692</v>
      </c>
      <c r="I70" s="1">
        <v>45705</v>
      </c>
      <c r="J70" s="1">
        <v>45708</v>
      </c>
      <c r="K70" s="1" t="str">
        <f t="shared" si="3"/>
        <v>Feb-2025</v>
      </c>
      <c r="L70">
        <v>496</v>
      </c>
      <c r="Q70">
        <f t="shared" si="2"/>
        <v>29</v>
      </c>
    </row>
    <row r="71" spans="1:17" x14ac:dyDescent="0.2">
      <c r="A71">
        <v>70</v>
      </c>
      <c r="B71" t="s">
        <v>104</v>
      </c>
      <c r="C71" t="s">
        <v>35</v>
      </c>
      <c r="D71" t="s">
        <v>38</v>
      </c>
      <c r="E71" t="s">
        <v>14</v>
      </c>
      <c r="F71" t="s">
        <v>23</v>
      </c>
      <c r="G71" s="1">
        <v>45890</v>
      </c>
      <c r="K71" s="1" t="str">
        <f t="shared" si="3"/>
        <v/>
      </c>
      <c r="L71">
        <v>1690</v>
      </c>
      <c r="Q71" t="str">
        <f t="shared" si="2"/>
        <v/>
      </c>
    </row>
    <row r="72" spans="1:17" x14ac:dyDescent="0.2">
      <c r="A72">
        <v>71</v>
      </c>
      <c r="B72" t="s">
        <v>105</v>
      </c>
      <c r="C72" t="s">
        <v>35</v>
      </c>
      <c r="D72" t="s">
        <v>21</v>
      </c>
      <c r="E72" t="s">
        <v>49</v>
      </c>
      <c r="F72" t="s">
        <v>43</v>
      </c>
      <c r="G72" s="1">
        <v>45828</v>
      </c>
      <c r="K72" s="1" t="str">
        <f t="shared" si="3"/>
        <v/>
      </c>
      <c r="L72">
        <v>1774</v>
      </c>
      <c r="Q72" t="str">
        <f t="shared" si="2"/>
        <v/>
      </c>
    </row>
    <row r="73" spans="1:17" x14ac:dyDescent="0.2">
      <c r="A73">
        <v>72</v>
      </c>
      <c r="B73" t="s">
        <v>106</v>
      </c>
      <c r="C73" t="s">
        <v>35</v>
      </c>
      <c r="D73" t="s">
        <v>38</v>
      </c>
      <c r="E73" t="s">
        <v>33</v>
      </c>
      <c r="F73" t="s">
        <v>18</v>
      </c>
      <c r="G73" s="1">
        <v>45680</v>
      </c>
      <c r="H73" s="1">
        <v>45691</v>
      </c>
      <c r="K73" s="1" t="str">
        <f t="shared" si="3"/>
        <v/>
      </c>
      <c r="L73">
        <v>1626</v>
      </c>
      <c r="Q73" t="str">
        <f t="shared" si="2"/>
        <v/>
      </c>
    </row>
    <row r="74" spans="1:17" x14ac:dyDescent="0.2">
      <c r="A74">
        <v>73</v>
      </c>
      <c r="B74" t="s">
        <v>107</v>
      </c>
      <c r="C74" t="s">
        <v>17</v>
      </c>
      <c r="D74" t="s">
        <v>21</v>
      </c>
      <c r="E74" t="s">
        <v>22</v>
      </c>
      <c r="F74" t="s">
        <v>18</v>
      </c>
      <c r="G74" s="1">
        <v>45813</v>
      </c>
      <c r="H74" s="1">
        <v>45831</v>
      </c>
      <c r="K74" s="1" t="str">
        <f t="shared" si="3"/>
        <v/>
      </c>
      <c r="L74">
        <v>1227</v>
      </c>
      <c r="Q74" t="str">
        <f t="shared" si="2"/>
        <v/>
      </c>
    </row>
    <row r="75" spans="1:17" x14ac:dyDescent="0.2">
      <c r="A75">
        <v>74</v>
      </c>
      <c r="B75" t="s">
        <v>108</v>
      </c>
      <c r="C75" t="s">
        <v>20</v>
      </c>
      <c r="D75" t="s">
        <v>13</v>
      </c>
      <c r="E75" t="s">
        <v>49</v>
      </c>
      <c r="F75" t="s">
        <v>23</v>
      </c>
      <c r="G75" s="1">
        <v>45694</v>
      </c>
      <c r="K75" s="1" t="str">
        <f t="shared" si="3"/>
        <v/>
      </c>
      <c r="L75">
        <v>1421</v>
      </c>
      <c r="Q75" t="str">
        <f t="shared" si="2"/>
        <v/>
      </c>
    </row>
    <row r="76" spans="1:17" x14ac:dyDescent="0.2">
      <c r="A76">
        <v>75</v>
      </c>
      <c r="B76" t="s">
        <v>109</v>
      </c>
      <c r="C76" t="s">
        <v>35</v>
      </c>
      <c r="D76" t="s">
        <v>26</v>
      </c>
      <c r="E76" t="s">
        <v>22</v>
      </c>
      <c r="F76" t="s">
        <v>18</v>
      </c>
      <c r="G76" s="1">
        <v>45890</v>
      </c>
      <c r="H76" s="1">
        <v>45902</v>
      </c>
      <c r="K76" s="1" t="str">
        <f t="shared" si="3"/>
        <v/>
      </c>
      <c r="L76">
        <v>938</v>
      </c>
      <c r="Q76" t="str">
        <f t="shared" si="2"/>
        <v/>
      </c>
    </row>
    <row r="77" spans="1:17" x14ac:dyDescent="0.2">
      <c r="A77">
        <v>76</v>
      </c>
      <c r="B77" t="s">
        <v>110</v>
      </c>
      <c r="C77" t="s">
        <v>46</v>
      </c>
      <c r="D77" t="s">
        <v>30</v>
      </c>
      <c r="E77" t="s">
        <v>36</v>
      </c>
      <c r="F77" t="s">
        <v>43</v>
      </c>
      <c r="G77" s="1">
        <v>45689</v>
      </c>
      <c r="K77" s="1" t="str">
        <f t="shared" si="3"/>
        <v/>
      </c>
      <c r="L77">
        <v>287</v>
      </c>
      <c r="Q77" t="str">
        <f t="shared" si="2"/>
        <v/>
      </c>
    </row>
    <row r="78" spans="1:17" x14ac:dyDescent="0.2">
      <c r="A78">
        <v>77</v>
      </c>
      <c r="B78" t="s">
        <v>111</v>
      </c>
      <c r="C78" t="s">
        <v>17</v>
      </c>
      <c r="D78" t="s">
        <v>48</v>
      </c>
      <c r="E78" t="s">
        <v>14</v>
      </c>
      <c r="F78" t="s">
        <v>27</v>
      </c>
      <c r="G78" s="1">
        <v>45797</v>
      </c>
      <c r="H78" s="1">
        <v>45813</v>
      </c>
      <c r="I78" s="1">
        <v>45825</v>
      </c>
      <c r="K78" s="1" t="str">
        <f t="shared" si="3"/>
        <v/>
      </c>
      <c r="L78">
        <v>1123</v>
      </c>
      <c r="Q78" t="str">
        <f t="shared" si="2"/>
        <v/>
      </c>
    </row>
    <row r="79" spans="1:17" x14ac:dyDescent="0.2">
      <c r="A79">
        <v>78</v>
      </c>
      <c r="B79" t="s">
        <v>112</v>
      </c>
      <c r="C79" t="s">
        <v>20</v>
      </c>
      <c r="D79" t="s">
        <v>21</v>
      </c>
      <c r="E79" t="s">
        <v>33</v>
      </c>
      <c r="F79" t="s">
        <v>18</v>
      </c>
      <c r="G79" s="1">
        <v>45954</v>
      </c>
      <c r="H79" s="1">
        <v>45961</v>
      </c>
      <c r="K79" s="1" t="str">
        <f t="shared" si="3"/>
        <v/>
      </c>
      <c r="L79">
        <v>1055</v>
      </c>
      <c r="Q79" t="str">
        <f t="shared" si="2"/>
        <v/>
      </c>
    </row>
    <row r="80" spans="1:17" x14ac:dyDescent="0.2">
      <c r="A80">
        <v>79</v>
      </c>
      <c r="B80" t="s">
        <v>113</v>
      </c>
      <c r="C80" t="s">
        <v>46</v>
      </c>
      <c r="D80" t="s">
        <v>26</v>
      </c>
      <c r="E80" t="s">
        <v>36</v>
      </c>
      <c r="F80" t="s">
        <v>27</v>
      </c>
      <c r="G80" s="1">
        <v>45694</v>
      </c>
      <c r="H80" s="1">
        <v>45704</v>
      </c>
      <c r="I80" s="1">
        <v>45723</v>
      </c>
      <c r="K80" s="1" t="str">
        <f t="shared" si="3"/>
        <v/>
      </c>
      <c r="L80">
        <v>1410</v>
      </c>
      <c r="Q80" t="str">
        <f t="shared" si="2"/>
        <v/>
      </c>
    </row>
    <row r="81" spans="1:17" x14ac:dyDescent="0.2">
      <c r="A81">
        <v>80</v>
      </c>
      <c r="B81" t="s">
        <v>114</v>
      </c>
      <c r="C81" t="s">
        <v>46</v>
      </c>
      <c r="D81" t="s">
        <v>30</v>
      </c>
      <c r="E81" t="s">
        <v>33</v>
      </c>
      <c r="F81" t="s">
        <v>23</v>
      </c>
      <c r="G81" s="1">
        <v>45870</v>
      </c>
      <c r="K81" s="1" t="str">
        <f t="shared" si="3"/>
        <v/>
      </c>
      <c r="L81">
        <v>1375</v>
      </c>
      <c r="Q81" t="str">
        <f t="shared" si="2"/>
        <v/>
      </c>
    </row>
    <row r="82" spans="1:17" x14ac:dyDescent="0.2">
      <c r="A82">
        <v>81</v>
      </c>
      <c r="B82" t="s">
        <v>115</v>
      </c>
      <c r="C82" t="s">
        <v>25</v>
      </c>
      <c r="D82" t="s">
        <v>38</v>
      </c>
      <c r="E82" t="s">
        <v>33</v>
      </c>
      <c r="F82" t="s">
        <v>18</v>
      </c>
      <c r="G82" s="1">
        <v>45785</v>
      </c>
      <c r="H82" s="1">
        <v>45808</v>
      </c>
      <c r="K82" s="1" t="str">
        <f t="shared" si="3"/>
        <v/>
      </c>
      <c r="L82">
        <v>1827</v>
      </c>
      <c r="Q82" t="str">
        <f t="shared" si="2"/>
        <v/>
      </c>
    </row>
    <row r="83" spans="1:17" x14ac:dyDescent="0.2">
      <c r="A83">
        <v>82</v>
      </c>
      <c r="B83" t="s">
        <v>116</v>
      </c>
      <c r="C83" t="s">
        <v>20</v>
      </c>
      <c r="D83" t="s">
        <v>21</v>
      </c>
      <c r="E83" t="s">
        <v>14</v>
      </c>
      <c r="F83" t="s">
        <v>27</v>
      </c>
      <c r="G83" s="1">
        <v>45928</v>
      </c>
      <c r="H83" s="1">
        <v>45952</v>
      </c>
      <c r="I83" s="1">
        <v>45963</v>
      </c>
      <c r="K83" s="1" t="str">
        <f t="shared" si="3"/>
        <v/>
      </c>
      <c r="L83">
        <v>630</v>
      </c>
      <c r="Q83" t="str">
        <f t="shared" si="2"/>
        <v/>
      </c>
    </row>
    <row r="84" spans="1:17" x14ac:dyDescent="0.2">
      <c r="A84">
        <v>83</v>
      </c>
      <c r="B84" t="s">
        <v>117</v>
      </c>
      <c r="C84" t="s">
        <v>20</v>
      </c>
      <c r="D84" t="s">
        <v>38</v>
      </c>
      <c r="E84" t="s">
        <v>33</v>
      </c>
      <c r="F84" t="s">
        <v>43</v>
      </c>
      <c r="G84" s="1">
        <v>45842</v>
      </c>
      <c r="K84" s="1" t="str">
        <f t="shared" si="3"/>
        <v/>
      </c>
      <c r="L84">
        <v>874</v>
      </c>
      <c r="Q84" t="str">
        <f t="shared" si="2"/>
        <v/>
      </c>
    </row>
    <row r="85" spans="1:17" x14ac:dyDescent="0.2">
      <c r="A85">
        <v>84</v>
      </c>
      <c r="B85" t="s">
        <v>118</v>
      </c>
      <c r="C85" t="s">
        <v>46</v>
      </c>
      <c r="D85" t="s">
        <v>30</v>
      </c>
      <c r="E85" t="s">
        <v>14</v>
      </c>
      <c r="F85" t="s">
        <v>23</v>
      </c>
      <c r="G85" s="1">
        <v>45947</v>
      </c>
      <c r="K85" s="1" t="str">
        <f t="shared" si="3"/>
        <v/>
      </c>
      <c r="L85">
        <v>777</v>
      </c>
      <c r="Q85" t="str">
        <f t="shared" si="2"/>
        <v/>
      </c>
    </row>
    <row r="86" spans="1:17" x14ac:dyDescent="0.2">
      <c r="A86">
        <v>85</v>
      </c>
      <c r="B86" t="s">
        <v>119</v>
      </c>
      <c r="C86" t="s">
        <v>12</v>
      </c>
      <c r="D86" t="s">
        <v>13</v>
      </c>
      <c r="E86" t="s">
        <v>36</v>
      </c>
      <c r="F86" t="s">
        <v>43</v>
      </c>
      <c r="G86" s="1">
        <v>45685</v>
      </c>
      <c r="K86" s="1" t="str">
        <f t="shared" si="3"/>
        <v/>
      </c>
      <c r="L86">
        <v>1821</v>
      </c>
      <c r="Q86" t="str">
        <f t="shared" si="2"/>
        <v/>
      </c>
    </row>
    <row r="87" spans="1:17" x14ac:dyDescent="0.2">
      <c r="A87">
        <v>86</v>
      </c>
      <c r="B87" t="s">
        <v>120</v>
      </c>
      <c r="C87" t="s">
        <v>35</v>
      </c>
      <c r="D87" t="s">
        <v>13</v>
      </c>
      <c r="E87" t="s">
        <v>33</v>
      </c>
      <c r="F87" t="s">
        <v>23</v>
      </c>
      <c r="G87" s="1">
        <v>45763</v>
      </c>
      <c r="K87" s="1" t="str">
        <f t="shared" si="3"/>
        <v/>
      </c>
      <c r="L87">
        <v>817</v>
      </c>
      <c r="Q87" t="str">
        <f t="shared" si="2"/>
        <v/>
      </c>
    </row>
    <row r="88" spans="1:17" x14ac:dyDescent="0.2">
      <c r="A88">
        <v>87</v>
      </c>
      <c r="B88" t="s">
        <v>121</v>
      </c>
      <c r="C88" t="s">
        <v>12</v>
      </c>
      <c r="D88" t="s">
        <v>26</v>
      </c>
      <c r="E88" t="s">
        <v>36</v>
      </c>
      <c r="F88" t="s">
        <v>15</v>
      </c>
      <c r="G88" s="1">
        <v>45664</v>
      </c>
      <c r="H88" s="1">
        <v>45673</v>
      </c>
      <c r="I88" s="1">
        <v>45703</v>
      </c>
      <c r="J88" s="1">
        <v>45709</v>
      </c>
      <c r="K88" s="1" t="str">
        <f t="shared" si="3"/>
        <v>Feb-2025</v>
      </c>
      <c r="L88">
        <v>1032</v>
      </c>
      <c r="Q88">
        <f t="shared" si="2"/>
        <v>45</v>
      </c>
    </row>
    <row r="89" spans="1:17" x14ac:dyDescent="0.2">
      <c r="A89">
        <v>88</v>
      </c>
      <c r="B89" t="s">
        <v>122</v>
      </c>
      <c r="C89" t="s">
        <v>25</v>
      </c>
      <c r="D89" t="s">
        <v>30</v>
      </c>
      <c r="E89" t="s">
        <v>49</v>
      </c>
      <c r="F89" t="s">
        <v>15</v>
      </c>
      <c r="G89" s="1">
        <v>45686</v>
      </c>
      <c r="H89" s="1">
        <v>45703</v>
      </c>
      <c r="I89" s="1">
        <v>45711</v>
      </c>
      <c r="J89" s="1">
        <v>45719</v>
      </c>
      <c r="K89" s="1" t="str">
        <f t="shared" si="3"/>
        <v>Mar-2025</v>
      </c>
      <c r="L89">
        <v>1149</v>
      </c>
      <c r="Q89">
        <f t="shared" si="2"/>
        <v>33</v>
      </c>
    </row>
    <row r="90" spans="1:17" x14ac:dyDescent="0.2">
      <c r="A90">
        <v>89</v>
      </c>
      <c r="B90" t="s">
        <v>123</v>
      </c>
      <c r="C90" t="s">
        <v>46</v>
      </c>
      <c r="D90" t="s">
        <v>48</v>
      </c>
      <c r="E90" t="s">
        <v>14</v>
      </c>
      <c r="F90" t="s">
        <v>15</v>
      </c>
      <c r="G90" s="1">
        <v>45760</v>
      </c>
      <c r="H90" s="1">
        <v>45775</v>
      </c>
      <c r="I90" s="1">
        <v>45791</v>
      </c>
      <c r="J90" s="1">
        <v>45801</v>
      </c>
      <c r="K90" s="1" t="str">
        <f t="shared" si="3"/>
        <v>May-2025</v>
      </c>
      <c r="L90">
        <v>1732</v>
      </c>
      <c r="Q90">
        <f t="shared" si="2"/>
        <v>41</v>
      </c>
    </row>
    <row r="91" spans="1:17" x14ac:dyDescent="0.2">
      <c r="A91">
        <v>90</v>
      </c>
      <c r="B91" t="s">
        <v>124</v>
      </c>
      <c r="C91" t="s">
        <v>12</v>
      </c>
      <c r="D91" t="s">
        <v>13</v>
      </c>
      <c r="E91" t="s">
        <v>49</v>
      </c>
      <c r="F91" t="s">
        <v>51</v>
      </c>
      <c r="G91" s="1">
        <v>45742</v>
      </c>
      <c r="H91" s="1">
        <v>45759</v>
      </c>
      <c r="K91" s="1" t="str">
        <f t="shared" si="3"/>
        <v/>
      </c>
      <c r="L91">
        <v>1239</v>
      </c>
      <c r="Q91" t="str">
        <f t="shared" si="2"/>
        <v/>
      </c>
    </row>
    <row r="92" spans="1:17" x14ac:dyDescent="0.2">
      <c r="A92">
        <v>91</v>
      </c>
      <c r="B92" t="s">
        <v>125</v>
      </c>
      <c r="C92" t="s">
        <v>17</v>
      </c>
      <c r="D92" t="s">
        <v>30</v>
      </c>
      <c r="E92" t="s">
        <v>14</v>
      </c>
      <c r="F92" t="s">
        <v>15</v>
      </c>
      <c r="G92" s="1">
        <v>45703</v>
      </c>
      <c r="H92" s="1">
        <v>45728</v>
      </c>
      <c r="I92" s="1">
        <v>45729</v>
      </c>
      <c r="J92" s="1">
        <v>45736</v>
      </c>
      <c r="K92" s="1" t="str">
        <f t="shared" si="3"/>
        <v>Mar-2025</v>
      </c>
      <c r="L92">
        <v>1863</v>
      </c>
      <c r="Q92">
        <f t="shared" si="2"/>
        <v>33</v>
      </c>
    </row>
    <row r="93" spans="1:17" x14ac:dyDescent="0.2">
      <c r="A93">
        <v>92</v>
      </c>
      <c r="B93" t="s">
        <v>126</v>
      </c>
      <c r="C93" t="s">
        <v>25</v>
      </c>
      <c r="D93" t="s">
        <v>21</v>
      </c>
      <c r="E93" t="s">
        <v>36</v>
      </c>
      <c r="F93" t="s">
        <v>18</v>
      </c>
      <c r="G93" s="1">
        <v>45922</v>
      </c>
      <c r="H93" s="1">
        <v>45929</v>
      </c>
      <c r="K93" s="1" t="str">
        <f t="shared" si="3"/>
        <v/>
      </c>
      <c r="L93">
        <v>423</v>
      </c>
      <c r="Q93" t="str">
        <f t="shared" si="2"/>
        <v/>
      </c>
    </row>
    <row r="94" spans="1:17" x14ac:dyDescent="0.2">
      <c r="A94">
        <v>93</v>
      </c>
      <c r="B94" t="s">
        <v>127</v>
      </c>
      <c r="C94" t="s">
        <v>20</v>
      </c>
      <c r="D94" t="s">
        <v>30</v>
      </c>
      <c r="E94" t="s">
        <v>22</v>
      </c>
      <c r="F94" t="s">
        <v>18</v>
      </c>
      <c r="G94" s="1">
        <v>45930</v>
      </c>
      <c r="H94" s="1">
        <v>45947</v>
      </c>
      <c r="K94" s="1" t="str">
        <f t="shared" si="3"/>
        <v/>
      </c>
      <c r="L94">
        <v>777</v>
      </c>
      <c r="Q94" t="str">
        <f t="shared" si="2"/>
        <v/>
      </c>
    </row>
    <row r="95" spans="1:17" x14ac:dyDescent="0.2">
      <c r="A95">
        <v>94</v>
      </c>
      <c r="B95" t="s">
        <v>128</v>
      </c>
      <c r="C95" t="s">
        <v>17</v>
      </c>
      <c r="D95" t="s">
        <v>48</v>
      </c>
      <c r="E95" t="s">
        <v>33</v>
      </c>
      <c r="F95" t="s">
        <v>23</v>
      </c>
      <c r="G95" s="1">
        <v>45929</v>
      </c>
      <c r="K95" s="1" t="str">
        <f t="shared" si="3"/>
        <v/>
      </c>
      <c r="L95">
        <v>986</v>
      </c>
      <c r="Q95" t="str">
        <f t="shared" si="2"/>
        <v/>
      </c>
    </row>
    <row r="96" spans="1:17" x14ac:dyDescent="0.2">
      <c r="A96">
        <v>95</v>
      </c>
      <c r="B96" t="s">
        <v>129</v>
      </c>
      <c r="C96" t="s">
        <v>25</v>
      </c>
      <c r="D96" t="s">
        <v>26</v>
      </c>
      <c r="E96" t="s">
        <v>33</v>
      </c>
      <c r="F96" t="s">
        <v>18</v>
      </c>
      <c r="G96" s="1">
        <v>45924</v>
      </c>
      <c r="H96" s="1">
        <v>45940</v>
      </c>
      <c r="K96" s="1" t="str">
        <f t="shared" si="3"/>
        <v/>
      </c>
      <c r="L96">
        <v>1907</v>
      </c>
      <c r="Q96" t="str">
        <f t="shared" si="2"/>
        <v/>
      </c>
    </row>
    <row r="97" spans="1:17" x14ac:dyDescent="0.2">
      <c r="A97">
        <v>96</v>
      </c>
      <c r="B97" t="s">
        <v>130</v>
      </c>
      <c r="C97" t="s">
        <v>46</v>
      </c>
      <c r="D97" t="s">
        <v>48</v>
      </c>
      <c r="E97" t="s">
        <v>49</v>
      </c>
      <c r="F97" t="s">
        <v>18</v>
      </c>
      <c r="G97" s="1">
        <v>45688</v>
      </c>
      <c r="H97" s="1">
        <v>45698</v>
      </c>
      <c r="K97" s="1" t="str">
        <f t="shared" si="3"/>
        <v/>
      </c>
      <c r="L97">
        <v>577</v>
      </c>
      <c r="Q97" t="str">
        <f t="shared" si="2"/>
        <v/>
      </c>
    </row>
    <row r="98" spans="1:17" x14ac:dyDescent="0.2">
      <c r="A98">
        <v>97</v>
      </c>
      <c r="B98" t="s">
        <v>131</v>
      </c>
      <c r="C98" t="s">
        <v>20</v>
      </c>
      <c r="D98" t="s">
        <v>38</v>
      </c>
      <c r="E98" t="s">
        <v>36</v>
      </c>
      <c r="F98" t="s">
        <v>23</v>
      </c>
      <c r="G98" s="1">
        <v>45733</v>
      </c>
      <c r="K98" s="1" t="str">
        <f t="shared" si="3"/>
        <v/>
      </c>
      <c r="L98">
        <v>1763</v>
      </c>
      <c r="Q98" t="str">
        <f t="shared" si="2"/>
        <v/>
      </c>
    </row>
    <row r="99" spans="1:17" x14ac:dyDescent="0.2">
      <c r="A99">
        <v>98</v>
      </c>
      <c r="B99" t="s">
        <v>132</v>
      </c>
      <c r="C99" t="s">
        <v>46</v>
      </c>
      <c r="D99" t="s">
        <v>48</v>
      </c>
      <c r="E99" t="s">
        <v>14</v>
      </c>
      <c r="F99" t="s">
        <v>27</v>
      </c>
      <c r="G99" s="1">
        <v>45919</v>
      </c>
      <c r="H99" s="1">
        <v>45938</v>
      </c>
      <c r="I99" s="1">
        <v>45958</v>
      </c>
      <c r="K99" s="1" t="str">
        <f t="shared" si="3"/>
        <v/>
      </c>
      <c r="L99">
        <v>317</v>
      </c>
      <c r="Q99" t="str">
        <f t="shared" si="2"/>
        <v/>
      </c>
    </row>
    <row r="100" spans="1:17" x14ac:dyDescent="0.2">
      <c r="A100">
        <v>99</v>
      </c>
      <c r="B100" t="s">
        <v>133</v>
      </c>
      <c r="C100" t="s">
        <v>25</v>
      </c>
      <c r="D100" t="s">
        <v>13</v>
      </c>
      <c r="E100" t="s">
        <v>33</v>
      </c>
      <c r="F100" t="s">
        <v>43</v>
      </c>
      <c r="G100" s="1">
        <v>45697</v>
      </c>
      <c r="K100" s="1" t="str">
        <f t="shared" si="3"/>
        <v/>
      </c>
      <c r="L100">
        <v>629</v>
      </c>
      <c r="Q100" t="str">
        <f t="shared" si="2"/>
        <v/>
      </c>
    </row>
    <row r="101" spans="1:17" x14ac:dyDescent="0.2">
      <c r="A101">
        <v>100</v>
      </c>
      <c r="B101" t="s">
        <v>134</v>
      </c>
      <c r="C101" t="s">
        <v>46</v>
      </c>
      <c r="D101" t="s">
        <v>13</v>
      </c>
      <c r="E101" t="s">
        <v>22</v>
      </c>
      <c r="F101" t="s">
        <v>43</v>
      </c>
      <c r="G101" s="1">
        <v>45887</v>
      </c>
      <c r="K101" s="1" t="str">
        <f t="shared" si="3"/>
        <v/>
      </c>
      <c r="L101">
        <v>232</v>
      </c>
      <c r="Q101" t="str">
        <f t="shared" si="2"/>
        <v/>
      </c>
    </row>
    <row r="102" spans="1:17" x14ac:dyDescent="0.2">
      <c r="A102">
        <v>101</v>
      </c>
      <c r="B102" t="s">
        <v>135</v>
      </c>
      <c r="C102" t="s">
        <v>46</v>
      </c>
      <c r="D102" t="s">
        <v>38</v>
      </c>
      <c r="E102" t="s">
        <v>49</v>
      </c>
      <c r="F102" t="s">
        <v>27</v>
      </c>
      <c r="G102" s="1">
        <v>45733</v>
      </c>
      <c r="H102" s="1">
        <v>45741</v>
      </c>
      <c r="I102" s="1">
        <v>45758</v>
      </c>
      <c r="K102" s="1" t="str">
        <f t="shared" si="3"/>
        <v/>
      </c>
      <c r="L102">
        <v>1612</v>
      </c>
      <c r="Q102" t="str">
        <f t="shared" si="2"/>
        <v/>
      </c>
    </row>
    <row r="103" spans="1:17" x14ac:dyDescent="0.2">
      <c r="A103">
        <v>102</v>
      </c>
      <c r="B103" t="s">
        <v>136</v>
      </c>
      <c r="C103" t="s">
        <v>17</v>
      </c>
      <c r="D103" t="s">
        <v>26</v>
      </c>
      <c r="E103" t="s">
        <v>22</v>
      </c>
      <c r="F103" t="s">
        <v>15</v>
      </c>
      <c r="G103" s="1">
        <v>45857</v>
      </c>
      <c r="H103" s="1">
        <v>45866</v>
      </c>
      <c r="I103" s="1">
        <v>45895</v>
      </c>
      <c r="J103" s="1">
        <v>45902</v>
      </c>
      <c r="K103" s="1" t="str">
        <f t="shared" si="3"/>
        <v>Sep-2025</v>
      </c>
      <c r="L103">
        <v>305</v>
      </c>
      <c r="Q103">
        <f t="shared" si="2"/>
        <v>45</v>
      </c>
    </row>
    <row r="104" spans="1:17" x14ac:dyDescent="0.2">
      <c r="A104">
        <v>103</v>
      </c>
      <c r="B104" t="s">
        <v>137</v>
      </c>
      <c r="C104" t="s">
        <v>35</v>
      </c>
      <c r="D104" t="s">
        <v>21</v>
      </c>
      <c r="E104" t="s">
        <v>22</v>
      </c>
      <c r="F104" t="s">
        <v>43</v>
      </c>
      <c r="G104" s="1">
        <v>45872</v>
      </c>
      <c r="K104" s="1" t="str">
        <f t="shared" si="3"/>
        <v/>
      </c>
      <c r="L104">
        <v>465</v>
      </c>
      <c r="Q104" t="str">
        <f t="shared" si="2"/>
        <v/>
      </c>
    </row>
    <row r="105" spans="1:17" x14ac:dyDescent="0.2">
      <c r="A105">
        <v>104</v>
      </c>
      <c r="B105" t="s">
        <v>138</v>
      </c>
      <c r="C105" t="s">
        <v>12</v>
      </c>
      <c r="D105" t="s">
        <v>13</v>
      </c>
      <c r="E105" t="s">
        <v>14</v>
      </c>
      <c r="F105" t="s">
        <v>23</v>
      </c>
      <c r="G105" s="1">
        <v>45765</v>
      </c>
      <c r="K105" s="1" t="str">
        <f t="shared" si="3"/>
        <v/>
      </c>
      <c r="L105">
        <v>1376</v>
      </c>
      <c r="Q105" t="str">
        <f t="shared" si="2"/>
        <v/>
      </c>
    </row>
    <row r="106" spans="1:17" x14ac:dyDescent="0.2">
      <c r="A106">
        <v>105</v>
      </c>
      <c r="B106" t="s">
        <v>139</v>
      </c>
      <c r="C106" t="s">
        <v>12</v>
      </c>
      <c r="D106" t="s">
        <v>26</v>
      </c>
      <c r="E106" t="s">
        <v>14</v>
      </c>
      <c r="F106" t="s">
        <v>15</v>
      </c>
      <c r="G106" s="1">
        <v>45747</v>
      </c>
      <c r="H106" s="1">
        <v>45763</v>
      </c>
      <c r="I106" s="1">
        <v>45772</v>
      </c>
      <c r="J106" s="1">
        <v>45776</v>
      </c>
      <c r="K106" s="1" t="str">
        <f t="shared" si="3"/>
        <v>Apr-2025</v>
      </c>
      <c r="L106">
        <v>1283</v>
      </c>
      <c r="Q106">
        <f t="shared" si="2"/>
        <v>29</v>
      </c>
    </row>
    <row r="107" spans="1:17" x14ac:dyDescent="0.2">
      <c r="A107">
        <v>106</v>
      </c>
      <c r="B107" t="s">
        <v>140</v>
      </c>
      <c r="C107" t="s">
        <v>20</v>
      </c>
      <c r="D107" t="s">
        <v>21</v>
      </c>
      <c r="E107" t="s">
        <v>49</v>
      </c>
      <c r="F107" t="s">
        <v>31</v>
      </c>
      <c r="G107" s="1">
        <v>45839</v>
      </c>
      <c r="H107" s="1">
        <v>45846</v>
      </c>
      <c r="K107" s="1" t="str">
        <f t="shared" si="3"/>
        <v/>
      </c>
      <c r="L107">
        <v>492</v>
      </c>
      <c r="Q107" t="str">
        <f t="shared" si="2"/>
        <v/>
      </c>
    </row>
    <row r="108" spans="1:17" x14ac:dyDescent="0.2">
      <c r="A108">
        <v>107</v>
      </c>
      <c r="B108" t="s">
        <v>141</v>
      </c>
      <c r="C108" t="s">
        <v>25</v>
      </c>
      <c r="D108" t="s">
        <v>21</v>
      </c>
      <c r="E108" t="s">
        <v>33</v>
      </c>
      <c r="F108" t="s">
        <v>31</v>
      </c>
      <c r="G108" s="1">
        <v>45789</v>
      </c>
      <c r="H108" s="1">
        <v>45803</v>
      </c>
      <c r="K108" s="1" t="str">
        <f t="shared" si="3"/>
        <v/>
      </c>
      <c r="L108">
        <v>990</v>
      </c>
      <c r="Q108" t="str">
        <f t="shared" si="2"/>
        <v/>
      </c>
    </row>
    <row r="109" spans="1:17" x14ac:dyDescent="0.2">
      <c r="A109">
        <v>108</v>
      </c>
      <c r="B109" t="s">
        <v>142</v>
      </c>
      <c r="C109" t="s">
        <v>20</v>
      </c>
      <c r="D109" t="s">
        <v>38</v>
      </c>
      <c r="E109" t="s">
        <v>33</v>
      </c>
      <c r="F109" t="s">
        <v>18</v>
      </c>
      <c r="G109" s="1">
        <v>45907</v>
      </c>
      <c r="H109" s="1">
        <v>45922</v>
      </c>
      <c r="K109" s="1" t="str">
        <f t="shared" si="3"/>
        <v/>
      </c>
      <c r="L109">
        <v>1419</v>
      </c>
      <c r="Q109" t="str">
        <f t="shared" si="2"/>
        <v/>
      </c>
    </row>
    <row r="110" spans="1:17" x14ac:dyDescent="0.2">
      <c r="A110">
        <v>109</v>
      </c>
      <c r="B110" t="s">
        <v>143</v>
      </c>
      <c r="C110" t="s">
        <v>46</v>
      </c>
      <c r="D110" t="s">
        <v>26</v>
      </c>
      <c r="E110" t="s">
        <v>22</v>
      </c>
      <c r="F110" t="s">
        <v>31</v>
      </c>
      <c r="G110" s="1">
        <v>45798</v>
      </c>
      <c r="H110" s="1">
        <v>45816</v>
      </c>
      <c r="K110" s="1" t="str">
        <f t="shared" si="3"/>
        <v/>
      </c>
      <c r="L110">
        <v>677</v>
      </c>
      <c r="Q110" t="str">
        <f t="shared" si="2"/>
        <v/>
      </c>
    </row>
    <row r="111" spans="1:17" x14ac:dyDescent="0.2">
      <c r="A111">
        <v>110</v>
      </c>
      <c r="B111" t="s">
        <v>144</v>
      </c>
      <c r="C111" t="s">
        <v>25</v>
      </c>
      <c r="D111" t="s">
        <v>38</v>
      </c>
      <c r="E111" t="s">
        <v>22</v>
      </c>
      <c r="F111" t="s">
        <v>18</v>
      </c>
      <c r="G111" s="1">
        <v>45879</v>
      </c>
      <c r="H111" s="1">
        <v>45899</v>
      </c>
      <c r="K111" s="1" t="str">
        <f t="shared" si="3"/>
        <v/>
      </c>
      <c r="L111">
        <v>1156</v>
      </c>
      <c r="Q111" t="str">
        <f t="shared" si="2"/>
        <v/>
      </c>
    </row>
    <row r="112" spans="1:17" x14ac:dyDescent="0.2">
      <c r="A112">
        <v>111</v>
      </c>
      <c r="B112" t="s">
        <v>145</v>
      </c>
      <c r="C112" t="s">
        <v>20</v>
      </c>
      <c r="D112" t="s">
        <v>13</v>
      </c>
      <c r="E112" t="s">
        <v>22</v>
      </c>
      <c r="F112" t="s">
        <v>51</v>
      </c>
      <c r="G112" s="1">
        <v>45813</v>
      </c>
      <c r="H112" s="1">
        <v>45838</v>
      </c>
      <c r="K112" s="1" t="str">
        <f t="shared" si="3"/>
        <v/>
      </c>
      <c r="L112">
        <v>254</v>
      </c>
      <c r="Q112" t="str">
        <f t="shared" si="2"/>
        <v/>
      </c>
    </row>
    <row r="113" spans="1:17" x14ac:dyDescent="0.2">
      <c r="A113">
        <v>112</v>
      </c>
      <c r="B113" t="s">
        <v>146</v>
      </c>
      <c r="C113" t="s">
        <v>25</v>
      </c>
      <c r="D113" t="s">
        <v>48</v>
      </c>
      <c r="E113" t="s">
        <v>14</v>
      </c>
      <c r="F113" t="s">
        <v>43</v>
      </c>
      <c r="G113" s="1">
        <v>45823</v>
      </c>
      <c r="K113" s="1" t="str">
        <f t="shared" si="3"/>
        <v/>
      </c>
      <c r="L113">
        <v>1093</v>
      </c>
      <c r="Q113" t="str">
        <f t="shared" si="2"/>
        <v/>
      </c>
    </row>
    <row r="114" spans="1:17" x14ac:dyDescent="0.2">
      <c r="A114">
        <v>113</v>
      </c>
      <c r="B114" t="s">
        <v>147</v>
      </c>
      <c r="C114" t="s">
        <v>12</v>
      </c>
      <c r="D114" t="s">
        <v>48</v>
      </c>
      <c r="E114" t="s">
        <v>49</v>
      </c>
      <c r="F114" t="s">
        <v>51</v>
      </c>
      <c r="G114" s="1">
        <v>45909</v>
      </c>
      <c r="H114" s="1">
        <v>45917</v>
      </c>
      <c r="K114" s="1" t="str">
        <f t="shared" si="3"/>
        <v/>
      </c>
      <c r="L114">
        <v>456</v>
      </c>
      <c r="Q114" t="str">
        <f t="shared" si="2"/>
        <v/>
      </c>
    </row>
    <row r="115" spans="1:17" x14ac:dyDescent="0.2">
      <c r="A115">
        <v>114</v>
      </c>
      <c r="B115" t="s">
        <v>148</v>
      </c>
      <c r="C115" t="s">
        <v>46</v>
      </c>
      <c r="D115" t="s">
        <v>21</v>
      </c>
      <c r="E115" t="s">
        <v>22</v>
      </c>
      <c r="F115" t="s">
        <v>27</v>
      </c>
      <c r="G115" s="1">
        <v>45681</v>
      </c>
      <c r="H115" s="1">
        <v>45687</v>
      </c>
      <c r="I115" s="1">
        <v>45717</v>
      </c>
      <c r="K115" s="1" t="str">
        <f t="shared" si="3"/>
        <v/>
      </c>
      <c r="L115">
        <v>776</v>
      </c>
      <c r="Q115" t="str">
        <f t="shared" si="2"/>
        <v/>
      </c>
    </row>
    <row r="116" spans="1:17" x14ac:dyDescent="0.2">
      <c r="A116">
        <v>115</v>
      </c>
      <c r="B116" t="s">
        <v>149</v>
      </c>
      <c r="C116" t="s">
        <v>25</v>
      </c>
      <c r="D116" t="s">
        <v>26</v>
      </c>
      <c r="E116" t="s">
        <v>49</v>
      </c>
      <c r="F116" t="s">
        <v>43</v>
      </c>
      <c r="G116" s="1">
        <v>45895</v>
      </c>
      <c r="K116" s="1" t="str">
        <f t="shared" si="3"/>
        <v/>
      </c>
      <c r="L116">
        <v>889</v>
      </c>
      <c r="Q116" t="str">
        <f t="shared" si="2"/>
        <v/>
      </c>
    </row>
    <row r="117" spans="1:17" x14ac:dyDescent="0.2">
      <c r="A117">
        <v>116</v>
      </c>
      <c r="B117" t="s">
        <v>150</v>
      </c>
      <c r="C117" t="s">
        <v>35</v>
      </c>
      <c r="D117" t="s">
        <v>30</v>
      </c>
      <c r="E117" t="s">
        <v>22</v>
      </c>
      <c r="F117" t="s">
        <v>51</v>
      </c>
      <c r="G117" s="1">
        <v>45695</v>
      </c>
      <c r="H117" s="1">
        <v>45704</v>
      </c>
      <c r="K117" s="1" t="str">
        <f t="shared" si="3"/>
        <v/>
      </c>
      <c r="L117">
        <v>255</v>
      </c>
      <c r="Q117" t="str">
        <f t="shared" si="2"/>
        <v/>
      </c>
    </row>
    <row r="118" spans="1:17" x14ac:dyDescent="0.2">
      <c r="A118">
        <v>117</v>
      </c>
      <c r="B118" t="s">
        <v>151</v>
      </c>
      <c r="C118" t="s">
        <v>46</v>
      </c>
      <c r="D118" t="s">
        <v>30</v>
      </c>
      <c r="E118" t="s">
        <v>22</v>
      </c>
      <c r="F118" t="s">
        <v>27</v>
      </c>
      <c r="G118" s="1">
        <v>45796</v>
      </c>
      <c r="H118" s="1">
        <v>45801</v>
      </c>
      <c r="I118" s="1">
        <v>45820</v>
      </c>
      <c r="K118" s="1" t="str">
        <f t="shared" si="3"/>
        <v/>
      </c>
      <c r="L118">
        <v>1956</v>
      </c>
      <c r="Q118" t="str">
        <f t="shared" si="2"/>
        <v/>
      </c>
    </row>
    <row r="119" spans="1:17" x14ac:dyDescent="0.2">
      <c r="A119">
        <v>118</v>
      </c>
      <c r="B119" t="s">
        <v>152</v>
      </c>
      <c r="C119" t="s">
        <v>17</v>
      </c>
      <c r="D119" t="s">
        <v>26</v>
      </c>
      <c r="E119" t="s">
        <v>36</v>
      </c>
      <c r="F119" t="s">
        <v>27</v>
      </c>
      <c r="G119" s="1">
        <v>45845</v>
      </c>
      <c r="H119" s="1">
        <v>45851</v>
      </c>
      <c r="I119" s="1">
        <v>45878</v>
      </c>
      <c r="K119" s="1" t="str">
        <f t="shared" si="3"/>
        <v/>
      </c>
      <c r="L119">
        <v>383</v>
      </c>
      <c r="Q119" t="str">
        <f t="shared" si="2"/>
        <v/>
      </c>
    </row>
    <row r="120" spans="1:17" x14ac:dyDescent="0.2">
      <c r="A120">
        <v>119</v>
      </c>
      <c r="B120" t="s">
        <v>153</v>
      </c>
      <c r="C120" t="s">
        <v>25</v>
      </c>
      <c r="D120" t="s">
        <v>13</v>
      </c>
      <c r="E120" t="s">
        <v>33</v>
      </c>
      <c r="F120" t="s">
        <v>51</v>
      </c>
      <c r="G120" s="1">
        <v>45952</v>
      </c>
      <c r="H120" s="1">
        <v>45968</v>
      </c>
      <c r="K120" s="1" t="str">
        <f t="shared" si="3"/>
        <v/>
      </c>
      <c r="L120">
        <v>929</v>
      </c>
      <c r="Q120" t="str">
        <f t="shared" si="2"/>
        <v/>
      </c>
    </row>
    <row r="121" spans="1:17" x14ac:dyDescent="0.2">
      <c r="A121">
        <v>120</v>
      </c>
      <c r="B121" t="s">
        <v>154</v>
      </c>
      <c r="C121" t="s">
        <v>35</v>
      </c>
      <c r="D121" t="s">
        <v>38</v>
      </c>
      <c r="E121" t="s">
        <v>14</v>
      </c>
      <c r="F121" t="s">
        <v>43</v>
      </c>
      <c r="G121" s="1">
        <v>45819</v>
      </c>
      <c r="K121" s="1" t="str">
        <f t="shared" si="3"/>
        <v/>
      </c>
      <c r="L121">
        <v>706</v>
      </c>
      <c r="Q121" t="str">
        <f t="shared" si="2"/>
        <v/>
      </c>
    </row>
    <row r="122" spans="1:17" x14ac:dyDescent="0.2">
      <c r="A122">
        <v>121</v>
      </c>
      <c r="B122" t="s">
        <v>155</v>
      </c>
      <c r="C122" t="s">
        <v>17</v>
      </c>
      <c r="D122" t="s">
        <v>13</v>
      </c>
      <c r="E122" t="s">
        <v>33</v>
      </c>
      <c r="F122" t="s">
        <v>51</v>
      </c>
      <c r="G122" s="1">
        <v>45952</v>
      </c>
      <c r="H122" s="1">
        <v>45957</v>
      </c>
      <c r="K122" s="1" t="str">
        <f t="shared" si="3"/>
        <v/>
      </c>
      <c r="L122">
        <v>1651</v>
      </c>
      <c r="Q122" t="str">
        <f t="shared" si="2"/>
        <v/>
      </c>
    </row>
    <row r="123" spans="1:17" x14ac:dyDescent="0.2">
      <c r="A123">
        <v>122</v>
      </c>
      <c r="B123" t="s">
        <v>156</v>
      </c>
      <c r="C123" t="s">
        <v>46</v>
      </c>
      <c r="D123" t="s">
        <v>48</v>
      </c>
      <c r="E123" t="s">
        <v>36</v>
      </c>
      <c r="F123" t="s">
        <v>18</v>
      </c>
      <c r="G123" s="1">
        <v>45957</v>
      </c>
      <c r="H123" s="1">
        <v>45976</v>
      </c>
      <c r="K123" s="1" t="str">
        <f t="shared" si="3"/>
        <v/>
      </c>
      <c r="L123">
        <v>1334</v>
      </c>
      <c r="Q123" t="str">
        <f t="shared" si="2"/>
        <v/>
      </c>
    </row>
    <row r="124" spans="1:17" x14ac:dyDescent="0.2">
      <c r="A124">
        <v>123</v>
      </c>
      <c r="B124" t="s">
        <v>157</v>
      </c>
      <c r="C124" t="s">
        <v>25</v>
      </c>
      <c r="D124" t="s">
        <v>21</v>
      </c>
      <c r="E124" t="s">
        <v>36</v>
      </c>
      <c r="F124" t="s">
        <v>15</v>
      </c>
      <c r="G124" s="1">
        <v>45805</v>
      </c>
      <c r="H124" s="1">
        <v>45818</v>
      </c>
      <c r="I124" s="1">
        <v>45841</v>
      </c>
      <c r="J124" s="1">
        <v>45848</v>
      </c>
      <c r="K124" s="1" t="str">
        <f t="shared" si="3"/>
        <v>Jul-2025</v>
      </c>
      <c r="L124">
        <v>1237</v>
      </c>
      <c r="Q124">
        <f t="shared" si="2"/>
        <v>43</v>
      </c>
    </row>
    <row r="125" spans="1:17" x14ac:dyDescent="0.2">
      <c r="A125">
        <v>124</v>
      </c>
      <c r="B125" t="s">
        <v>158</v>
      </c>
      <c r="C125" t="s">
        <v>17</v>
      </c>
      <c r="D125" t="s">
        <v>48</v>
      </c>
      <c r="E125" t="s">
        <v>49</v>
      </c>
      <c r="F125" t="s">
        <v>15</v>
      </c>
      <c r="G125" s="1">
        <v>45754</v>
      </c>
      <c r="H125" s="1">
        <v>45768</v>
      </c>
      <c r="I125" s="1">
        <v>45787</v>
      </c>
      <c r="J125" s="1">
        <v>45795</v>
      </c>
      <c r="K125" s="1" t="str">
        <f t="shared" si="3"/>
        <v>May-2025</v>
      </c>
      <c r="L125">
        <v>1874</v>
      </c>
      <c r="Q125">
        <f t="shared" si="2"/>
        <v>41</v>
      </c>
    </row>
    <row r="126" spans="1:17" x14ac:dyDescent="0.2">
      <c r="A126">
        <v>125</v>
      </c>
      <c r="B126" t="s">
        <v>159</v>
      </c>
      <c r="C126" t="s">
        <v>12</v>
      </c>
      <c r="D126" t="s">
        <v>26</v>
      </c>
      <c r="E126" t="s">
        <v>22</v>
      </c>
      <c r="F126" t="s">
        <v>43</v>
      </c>
      <c r="G126" s="1">
        <v>45950</v>
      </c>
      <c r="K126" s="1" t="str">
        <f t="shared" si="3"/>
        <v/>
      </c>
      <c r="L126">
        <v>660</v>
      </c>
      <c r="Q126" t="str">
        <f t="shared" si="2"/>
        <v/>
      </c>
    </row>
    <row r="127" spans="1:17" x14ac:dyDescent="0.2">
      <c r="A127">
        <v>126</v>
      </c>
      <c r="B127" t="s">
        <v>160</v>
      </c>
      <c r="C127" t="s">
        <v>17</v>
      </c>
      <c r="D127" t="s">
        <v>30</v>
      </c>
      <c r="E127" t="s">
        <v>14</v>
      </c>
      <c r="F127" t="s">
        <v>15</v>
      </c>
      <c r="G127" s="1">
        <v>45894</v>
      </c>
      <c r="H127" s="1">
        <v>45901</v>
      </c>
      <c r="I127" s="1">
        <v>45926</v>
      </c>
      <c r="J127" s="1">
        <v>45935</v>
      </c>
      <c r="K127" s="1" t="str">
        <f t="shared" si="3"/>
        <v>Oct-2025</v>
      </c>
      <c r="L127">
        <v>865</v>
      </c>
      <c r="Q127">
        <f t="shared" si="2"/>
        <v>41</v>
      </c>
    </row>
    <row r="128" spans="1:17" x14ac:dyDescent="0.2">
      <c r="A128">
        <v>127</v>
      </c>
      <c r="B128" t="s">
        <v>161</v>
      </c>
      <c r="C128" t="s">
        <v>20</v>
      </c>
      <c r="D128" t="s">
        <v>13</v>
      </c>
      <c r="E128" t="s">
        <v>36</v>
      </c>
      <c r="F128" t="s">
        <v>43</v>
      </c>
      <c r="G128" s="1">
        <v>45875</v>
      </c>
      <c r="K128" s="1" t="str">
        <f t="shared" si="3"/>
        <v/>
      </c>
      <c r="L128">
        <v>211</v>
      </c>
      <c r="Q128" t="str">
        <f t="shared" si="2"/>
        <v/>
      </c>
    </row>
    <row r="129" spans="1:17" x14ac:dyDescent="0.2">
      <c r="A129">
        <v>128</v>
      </c>
      <c r="B129" t="s">
        <v>162</v>
      </c>
      <c r="C129" t="s">
        <v>20</v>
      </c>
      <c r="D129" t="s">
        <v>48</v>
      </c>
      <c r="E129" t="s">
        <v>14</v>
      </c>
      <c r="F129" t="s">
        <v>15</v>
      </c>
      <c r="G129" s="1">
        <v>45719</v>
      </c>
      <c r="H129" s="1">
        <v>45735</v>
      </c>
      <c r="I129" s="1">
        <v>45756</v>
      </c>
      <c r="J129" s="1">
        <v>45761</v>
      </c>
      <c r="K129" s="1" t="str">
        <f t="shared" si="3"/>
        <v>Apr-2025</v>
      </c>
      <c r="L129">
        <v>1184</v>
      </c>
      <c r="Q129">
        <f t="shared" si="2"/>
        <v>42</v>
      </c>
    </row>
    <row r="130" spans="1:17" x14ac:dyDescent="0.2">
      <c r="A130">
        <v>129</v>
      </c>
      <c r="B130" t="s">
        <v>163</v>
      </c>
      <c r="C130" t="s">
        <v>12</v>
      </c>
      <c r="D130" t="s">
        <v>13</v>
      </c>
      <c r="E130" t="s">
        <v>22</v>
      </c>
      <c r="F130" t="s">
        <v>27</v>
      </c>
      <c r="G130" s="1">
        <v>45663</v>
      </c>
      <c r="H130" s="1">
        <v>45673</v>
      </c>
      <c r="I130" s="1">
        <v>45684</v>
      </c>
      <c r="K130" s="1" t="str">
        <f t="shared" si="3"/>
        <v/>
      </c>
      <c r="L130">
        <v>540</v>
      </c>
      <c r="Q130" t="str">
        <f t="shared" ref="Q130:Q193" si="4">IF(J130="","",J130-G130)</f>
        <v/>
      </c>
    </row>
    <row r="131" spans="1:17" x14ac:dyDescent="0.2">
      <c r="A131">
        <v>130</v>
      </c>
      <c r="B131" t="s">
        <v>164</v>
      </c>
      <c r="C131" t="s">
        <v>12</v>
      </c>
      <c r="D131" t="s">
        <v>26</v>
      </c>
      <c r="E131" t="s">
        <v>49</v>
      </c>
      <c r="F131" t="s">
        <v>23</v>
      </c>
      <c r="G131" s="1">
        <v>45839</v>
      </c>
      <c r="K131" s="1" t="str">
        <f t="shared" ref="K131:K194" si="5">IF(J131="","",TEXT(J131,"mmm-yyyy"))</f>
        <v/>
      </c>
      <c r="L131">
        <v>1701</v>
      </c>
      <c r="Q131" t="str">
        <f t="shared" si="4"/>
        <v/>
      </c>
    </row>
    <row r="132" spans="1:17" x14ac:dyDescent="0.2">
      <c r="A132">
        <v>131</v>
      </c>
      <c r="B132" t="s">
        <v>165</v>
      </c>
      <c r="C132" t="s">
        <v>12</v>
      </c>
      <c r="D132" t="s">
        <v>13</v>
      </c>
      <c r="E132" t="s">
        <v>14</v>
      </c>
      <c r="F132" t="s">
        <v>23</v>
      </c>
      <c r="G132" s="1">
        <v>45727</v>
      </c>
      <c r="K132" s="1" t="str">
        <f t="shared" si="5"/>
        <v/>
      </c>
      <c r="L132">
        <v>702</v>
      </c>
      <c r="Q132" t="str">
        <f t="shared" si="4"/>
        <v/>
      </c>
    </row>
    <row r="133" spans="1:17" x14ac:dyDescent="0.2">
      <c r="A133">
        <v>132</v>
      </c>
      <c r="B133" t="s">
        <v>166</v>
      </c>
      <c r="C133" t="s">
        <v>12</v>
      </c>
      <c r="D133" t="s">
        <v>30</v>
      </c>
      <c r="E133" t="s">
        <v>36</v>
      </c>
      <c r="F133" t="s">
        <v>51</v>
      </c>
      <c r="G133" s="1">
        <v>45911</v>
      </c>
      <c r="H133" s="1">
        <v>45926</v>
      </c>
      <c r="K133" s="1" t="str">
        <f t="shared" si="5"/>
        <v/>
      </c>
      <c r="L133">
        <v>914</v>
      </c>
      <c r="Q133" t="str">
        <f t="shared" si="4"/>
        <v/>
      </c>
    </row>
    <row r="134" spans="1:17" x14ac:dyDescent="0.2">
      <c r="A134">
        <v>133</v>
      </c>
      <c r="B134" t="s">
        <v>167</v>
      </c>
      <c r="C134" t="s">
        <v>20</v>
      </c>
      <c r="D134" t="s">
        <v>30</v>
      </c>
      <c r="E134" t="s">
        <v>49</v>
      </c>
      <c r="F134" t="s">
        <v>27</v>
      </c>
      <c r="G134" s="1">
        <v>45726</v>
      </c>
      <c r="H134" s="1">
        <v>45741</v>
      </c>
      <c r="I134" s="1">
        <v>45751</v>
      </c>
      <c r="K134" s="1" t="str">
        <f t="shared" si="5"/>
        <v/>
      </c>
      <c r="L134">
        <v>1112</v>
      </c>
      <c r="Q134" t="str">
        <f t="shared" si="4"/>
        <v/>
      </c>
    </row>
    <row r="135" spans="1:17" x14ac:dyDescent="0.2">
      <c r="A135">
        <v>134</v>
      </c>
      <c r="B135" t="s">
        <v>168</v>
      </c>
      <c r="C135" t="s">
        <v>35</v>
      </c>
      <c r="D135" t="s">
        <v>38</v>
      </c>
      <c r="E135" t="s">
        <v>49</v>
      </c>
      <c r="F135" t="s">
        <v>43</v>
      </c>
      <c r="G135" s="1">
        <v>45709</v>
      </c>
      <c r="K135" s="1" t="str">
        <f t="shared" si="5"/>
        <v/>
      </c>
      <c r="L135">
        <v>432</v>
      </c>
      <c r="Q135" t="str">
        <f t="shared" si="4"/>
        <v/>
      </c>
    </row>
    <row r="136" spans="1:17" x14ac:dyDescent="0.2">
      <c r="A136">
        <v>135</v>
      </c>
      <c r="B136" t="s">
        <v>169</v>
      </c>
      <c r="C136" t="s">
        <v>20</v>
      </c>
      <c r="D136" t="s">
        <v>48</v>
      </c>
      <c r="E136" t="s">
        <v>33</v>
      </c>
      <c r="F136" t="s">
        <v>27</v>
      </c>
      <c r="G136" s="1">
        <v>45834</v>
      </c>
      <c r="H136" s="1">
        <v>45859</v>
      </c>
      <c r="I136" s="1">
        <v>45858</v>
      </c>
      <c r="K136" s="1" t="str">
        <f t="shared" si="5"/>
        <v/>
      </c>
      <c r="L136">
        <v>1605</v>
      </c>
      <c r="Q136" t="str">
        <f t="shared" si="4"/>
        <v/>
      </c>
    </row>
    <row r="137" spans="1:17" x14ac:dyDescent="0.2">
      <c r="A137">
        <v>136</v>
      </c>
      <c r="B137" t="s">
        <v>170</v>
      </c>
      <c r="C137" t="s">
        <v>35</v>
      </c>
      <c r="D137" t="s">
        <v>26</v>
      </c>
      <c r="E137" t="s">
        <v>14</v>
      </c>
      <c r="F137" t="s">
        <v>27</v>
      </c>
      <c r="G137" s="1">
        <v>45726</v>
      </c>
      <c r="H137" s="1">
        <v>45750</v>
      </c>
      <c r="I137" s="1">
        <v>45761</v>
      </c>
      <c r="K137" s="1" t="str">
        <f t="shared" si="5"/>
        <v/>
      </c>
      <c r="L137">
        <v>826</v>
      </c>
      <c r="Q137" t="str">
        <f t="shared" si="4"/>
        <v/>
      </c>
    </row>
    <row r="138" spans="1:17" x14ac:dyDescent="0.2">
      <c r="A138">
        <v>137</v>
      </c>
      <c r="B138" t="s">
        <v>171</v>
      </c>
      <c r="C138" t="s">
        <v>12</v>
      </c>
      <c r="D138" t="s">
        <v>13</v>
      </c>
      <c r="E138" t="s">
        <v>33</v>
      </c>
      <c r="F138" t="s">
        <v>18</v>
      </c>
      <c r="G138" s="1">
        <v>45804</v>
      </c>
      <c r="H138" s="1">
        <v>45815</v>
      </c>
      <c r="K138" s="1" t="str">
        <f t="shared" si="5"/>
        <v/>
      </c>
      <c r="L138">
        <v>916</v>
      </c>
      <c r="Q138" t="str">
        <f t="shared" si="4"/>
        <v/>
      </c>
    </row>
    <row r="139" spans="1:17" x14ac:dyDescent="0.2">
      <c r="A139">
        <v>138</v>
      </c>
      <c r="B139" t="s">
        <v>172</v>
      </c>
      <c r="C139" t="s">
        <v>17</v>
      </c>
      <c r="D139" t="s">
        <v>26</v>
      </c>
      <c r="E139" t="s">
        <v>22</v>
      </c>
      <c r="F139" t="s">
        <v>27</v>
      </c>
      <c r="G139" s="1">
        <v>45878</v>
      </c>
      <c r="H139" s="1">
        <v>45901</v>
      </c>
      <c r="I139" s="1">
        <v>45903</v>
      </c>
      <c r="K139" s="1" t="str">
        <f t="shared" si="5"/>
        <v/>
      </c>
      <c r="L139">
        <v>549</v>
      </c>
      <c r="Q139" t="str">
        <f t="shared" si="4"/>
        <v/>
      </c>
    </row>
    <row r="140" spans="1:17" x14ac:dyDescent="0.2">
      <c r="A140">
        <v>139</v>
      </c>
      <c r="B140" t="s">
        <v>173</v>
      </c>
      <c r="C140" t="s">
        <v>17</v>
      </c>
      <c r="D140" t="s">
        <v>48</v>
      </c>
      <c r="E140" t="s">
        <v>33</v>
      </c>
      <c r="F140" t="s">
        <v>43</v>
      </c>
      <c r="G140" s="1">
        <v>45767</v>
      </c>
      <c r="K140" s="1" t="str">
        <f t="shared" si="5"/>
        <v/>
      </c>
      <c r="L140">
        <v>1150</v>
      </c>
      <c r="Q140" t="str">
        <f t="shared" si="4"/>
        <v/>
      </c>
    </row>
    <row r="141" spans="1:17" x14ac:dyDescent="0.2">
      <c r="A141">
        <v>140</v>
      </c>
      <c r="B141" t="s">
        <v>174</v>
      </c>
      <c r="C141" t="s">
        <v>20</v>
      </c>
      <c r="D141" t="s">
        <v>30</v>
      </c>
      <c r="E141" t="s">
        <v>14</v>
      </c>
      <c r="F141" t="s">
        <v>51</v>
      </c>
      <c r="G141" s="1">
        <v>45946</v>
      </c>
      <c r="H141" s="1">
        <v>45967</v>
      </c>
      <c r="K141" s="1" t="str">
        <f t="shared" si="5"/>
        <v/>
      </c>
      <c r="L141">
        <v>994</v>
      </c>
      <c r="Q141" t="str">
        <f t="shared" si="4"/>
        <v/>
      </c>
    </row>
    <row r="142" spans="1:17" x14ac:dyDescent="0.2">
      <c r="A142">
        <v>141</v>
      </c>
      <c r="B142" t="s">
        <v>175</v>
      </c>
      <c r="C142" t="s">
        <v>46</v>
      </c>
      <c r="D142" t="s">
        <v>38</v>
      </c>
      <c r="E142" t="s">
        <v>22</v>
      </c>
      <c r="F142" t="s">
        <v>27</v>
      </c>
      <c r="G142" s="1">
        <v>45851</v>
      </c>
      <c r="H142" s="1">
        <v>45867</v>
      </c>
      <c r="I142" s="1">
        <v>45887</v>
      </c>
      <c r="K142" s="1" t="str">
        <f t="shared" si="5"/>
        <v/>
      </c>
      <c r="L142">
        <v>1386</v>
      </c>
      <c r="Q142" t="str">
        <f t="shared" si="4"/>
        <v/>
      </c>
    </row>
    <row r="143" spans="1:17" x14ac:dyDescent="0.2">
      <c r="A143">
        <v>142</v>
      </c>
      <c r="B143" t="s">
        <v>176</v>
      </c>
      <c r="C143" t="s">
        <v>25</v>
      </c>
      <c r="D143" t="s">
        <v>21</v>
      </c>
      <c r="E143" t="s">
        <v>22</v>
      </c>
      <c r="F143" t="s">
        <v>51</v>
      </c>
      <c r="G143" s="1">
        <v>45752</v>
      </c>
      <c r="H143" s="1">
        <v>45767</v>
      </c>
      <c r="K143" s="1" t="str">
        <f t="shared" si="5"/>
        <v/>
      </c>
      <c r="L143">
        <v>343</v>
      </c>
      <c r="Q143" t="str">
        <f t="shared" si="4"/>
        <v/>
      </c>
    </row>
    <row r="144" spans="1:17" x14ac:dyDescent="0.2">
      <c r="A144">
        <v>143</v>
      </c>
      <c r="B144" t="s">
        <v>177</v>
      </c>
      <c r="C144" t="s">
        <v>35</v>
      </c>
      <c r="D144" t="s">
        <v>30</v>
      </c>
      <c r="E144" t="s">
        <v>36</v>
      </c>
      <c r="F144" t="s">
        <v>31</v>
      </c>
      <c r="G144" s="1">
        <v>45782</v>
      </c>
      <c r="H144" s="1">
        <v>45797</v>
      </c>
      <c r="K144" s="1" t="str">
        <f t="shared" si="5"/>
        <v/>
      </c>
      <c r="L144">
        <v>1712</v>
      </c>
      <c r="Q144" t="str">
        <f t="shared" si="4"/>
        <v/>
      </c>
    </row>
    <row r="145" spans="1:17" x14ac:dyDescent="0.2">
      <c r="A145">
        <v>144</v>
      </c>
      <c r="B145" t="s">
        <v>178</v>
      </c>
      <c r="C145" t="s">
        <v>12</v>
      </c>
      <c r="D145" t="s">
        <v>21</v>
      </c>
      <c r="E145" t="s">
        <v>49</v>
      </c>
      <c r="F145" t="s">
        <v>31</v>
      </c>
      <c r="G145" s="1">
        <v>45686</v>
      </c>
      <c r="H145" s="1">
        <v>45697</v>
      </c>
      <c r="K145" s="1" t="str">
        <f t="shared" si="5"/>
        <v/>
      </c>
      <c r="L145">
        <v>1407</v>
      </c>
      <c r="Q145" t="str">
        <f t="shared" si="4"/>
        <v/>
      </c>
    </row>
    <row r="146" spans="1:17" x14ac:dyDescent="0.2">
      <c r="A146">
        <v>145</v>
      </c>
      <c r="B146" t="s">
        <v>179</v>
      </c>
      <c r="C146" t="s">
        <v>20</v>
      </c>
      <c r="D146" t="s">
        <v>13</v>
      </c>
      <c r="E146" t="s">
        <v>36</v>
      </c>
      <c r="F146" t="s">
        <v>51</v>
      </c>
      <c r="G146" s="1">
        <v>45666</v>
      </c>
      <c r="H146" s="1">
        <v>45691</v>
      </c>
      <c r="K146" s="1" t="str">
        <f t="shared" si="5"/>
        <v/>
      </c>
      <c r="L146">
        <v>1955</v>
      </c>
      <c r="Q146" t="str">
        <f t="shared" si="4"/>
        <v/>
      </c>
    </row>
    <row r="147" spans="1:17" x14ac:dyDescent="0.2">
      <c r="A147">
        <v>146</v>
      </c>
      <c r="B147" t="s">
        <v>180</v>
      </c>
      <c r="C147" t="s">
        <v>17</v>
      </c>
      <c r="D147" t="s">
        <v>30</v>
      </c>
      <c r="E147" t="s">
        <v>36</v>
      </c>
      <c r="F147" t="s">
        <v>27</v>
      </c>
      <c r="G147" s="1">
        <v>45831</v>
      </c>
      <c r="H147" s="1">
        <v>45851</v>
      </c>
      <c r="I147" s="1">
        <v>45856</v>
      </c>
      <c r="K147" s="1" t="str">
        <f t="shared" si="5"/>
        <v/>
      </c>
      <c r="L147">
        <v>1769</v>
      </c>
      <c r="Q147" t="str">
        <f t="shared" si="4"/>
        <v/>
      </c>
    </row>
    <row r="148" spans="1:17" x14ac:dyDescent="0.2">
      <c r="A148">
        <v>147</v>
      </c>
      <c r="B148" t="s">
        <v>181</v>
      </c>
      <c r="C148" t="s">
        <v>20</v>
      </c>
      <c r="D148" t="s">
        <v>21</v>
      </c>
      <c r="E148" t="s">
        <v>33</v>
      </c>
      <c r="F148" t="s">
        <v>51</v>
      </c>
      <c r="G148" s="1">
        <v>45699</v>
      </c>
      <c r="H148" s="1">
        <v>45715</v>
      </c>
      <c r="K148" s="1" t="str">
        <f t="shared" si="5"/>
        <v/>
      </c>
      <c r="L148">
        <v>1632</v>
      </c>
      <c r="Q148" t="str">
        <f t="shared" si="4"/>
        <v/>
      </c>
    </row>
    <row r="149" spans="1:17" x14ac:dyDescent="0.2">
      <c r="A149">
        <v>148</v>
      </c>
      <c r="B149" t="s">
        <v>182</v>
      </c>
      <c r="C149" t="s">
        <v>46</v>
      </c>
      <c r="D149" t="s">
        <v>38</v>
      </c>
      <c r="E149" t="s">
        <v>22</v>
      </c>
      <c r="F149" t="s">
        <v>18</v>
      </c>
      <c r="G149" s="1">
        <v>45951</v>
      </c>
      <c r="H149" s="1">
        <v>45962</v>
      </c>
      <c r="K149" s="1" t="str">
        <f t="shared" si="5"/>
        <v/>
      </c>
      <c r="L149">
        <v>528</v>
      </c>
      <c r="Q149" t="str">
        <f t="shared" si="4"/>
        <v/>
      </c>
    </row>
    <row r="150" spans="1:17" x14ac:dyDescent="0.2">
      <c r="A150">
        <v>149</v>
      </c>
      <c r="B150" t="s">
        <v>183</v>
      </c>
      <c r="C150" t="s">
        <v>25</v>
      </c>
      <c r="D150" t="s">
        <v>30</v>
      </c>
      <c r="E150" t="s">
        <v>49</v>
      </c>
      <c r="F150" t="s">
        <v>27</v>
      </c>
      <c r="G150" s="1">
        <v>45682</v>
      </c>
      <c r="H150" s="1">
        <v>45688</v>
      </c>
      <c r="I150" s="1">
        <v>45712</v>
      </c>
      <c r="K150" s="1" t="str">
        <f t="shared" si="5"/>
        <v/>
      </c>
      <c r="L150">
        <v>294</v>
      </c>
      <c r="Q150" t="str">
        <f t="shared" si="4"/>
        <v/>
      </c>
    </row>
    <row r="151" spans="1:17" x14ac:dyDescent="0.2">
      <c r="A151">
        <v>150</v>
      </c>
      <c r="B151" t="s">
        <v>184</v>
      </c>
      <c r="C151" t="s">
        <v>12</v>
      </c>
      <c r="D151" t="s">
        <v>21</v>
      </c>
      <c r="E151" t="s">
        <v>33</v>
      </c>
      <c r="F151" t="s">
        <v>31</v>
      </c>
      <c r="G151" s="1">
        <v>45852</v>
      </c>
      <c r="H151" s="1">
        <v>45864</v>
      </c>
      <c r="K151" s="1" t="str">
        <f t="shared" si="5"/>
        <v/>
      </c>
      <c r="L151">
        <v>537</v>
      </c>
      <c r="Q151" t="str">
        <f t="shared" si="4"/>
        <v/>
      </c>
    </row>
    <row r="152" spans="1:17" x14ac:dyDescent="0.2">
      <c r="A152">
        <v>151</v>
      </c>
      <c r="B152" t="s">
        <v>185</v>
      </c>
      <c r="C152" t="s">
        <v>25</v>
      </c>
      <c r="D152" t="s">
        <v>48</v>
      </c>
      <c r="E152" t="s">
        <v>14</v>
      </c>
      <c r="F152" t="s">
        <v>31</v>
      </c>
      <c r="G152" s="1">
        <v>45920</v>
      </c>
      <c r="H152" s="1">
        <v>45939</v>
      </c>
      <c r="K152" s="1" t="str">
        <f t="shared" si="5"/>
        <v/>
      </c>
      <c r="L152">
        <v>297</v>
      </c>
      <c r="Q152" t="str">
        <f t="shared" si="4"/>
        <v/>
      </c>
    </row>
    <row r="153" spans="1:17" x14ac:dyDescent="0.2">
      <c r="A153">
        <v>152</v>
      </c>
      <c r="B153" t="s">
        <v>186</v>
      </c>
      <c r="C153" t="s">
        <v>17</v>
      </c>
      <c r="D153" t="s">
        <v>48</v>
      </c>
      <c r="E153" t="s">
        <v>36</v>
      </c>
      <c r="F153" t="s">
        <v>23</v>
      </c>
      <c r="G153" s="1">
        <v>45737</v>
      </c>
      <c r="K153" s="1" t="str">
        <f t="shared" si="5"/>
        <v/>
      </c>
      <c r="L153">
        <v>865</v>
      </c>
      <c r="Q153" t="str">
        <f t="shared" si="4"/>
        <v/>
      </c>
    </row>
    <row r="154" spans="1:17" x14ac:dyDescent="0.2">
      <c r="A154">
        <v>153</v>
      </c>
      <c r="B154" t="s">
        <v>187</v>
      </c>
      <c r="C154" t="s">
        <v>46</v>
      </c>
      <c r="D154" t="s">
        <v>26</v>
      </c>
      <c r="E154" t="s">
        <v>22</v>
      </c>
      <c r="F154" t="s">
        <v>31</v>
      </c>
      <c r="G154" s="1">
        <v>45814</v>
      </c>
      <c r="H154" s="1">
        <v>45834</v>
      </c>
      <c r="K154" s="1" t="str">
        <f t="shared" si="5"/>
        <v/>
      </c>
      <c r="L154">
        <v>515</v>
      </c>
      <c r="Q154" t="str">
        <f t="shared" si="4"/>
        <v/>
      </c>
    </row>
    <row r="155" spans="1:17" x14ac:dyDescent="0.2">
      <c r="A155">
        <v>154</v>
      </c>
      <c r="B155" t="s">
        <v>188</v>
      </c>
      <c r="C155" t="s">
        <v>25</v>
      </c>
      <c r="D155" t="s">
        <v>13</v>
      </c>
      <c r="E155" t="s">
        <v>22</v>
      </c>
      <c r="F155" t="s">
        <v>51</v>
      </c>
      <c r="G155" s="1">
        <v>45667</v>
      </c>
      <c r="H155" s="1">
        <v>45676</v>
      </c>
      <c r="K155" s="1" t="str">
        <f t="shared" si="5"/>
        <v/>
      </c>
      <c r="L155">
        <v>1109</v>
      </c>
      <c r="Q155" t="str">
        <f t="shared" si="4"/>
        <v/>
      </c>
    </row>
    <row r="156" spans="1:17" x14ac:dyDescent="0.2">
      <c r="A156">
        <v>155</v>
      </c>
      <c r="B156" t="s">
        <v>189</v>
      </c>
      <c r="C156" t="s">
        <v>35</v>
      </c>
      <c r="D156" t="s">
        <v>38</v>
      </c>
      <c r="E156" t="s">
        <v>14</v>
      </c>
      <c r="F156" t="s">
        <v>31</v>
      </c>
      <c r="G156" s="1">
        <v>45682</v>
      </c>
      <c r="H156" s="1">
        <v>45706</v>
      </c>
      <c r="K156" s="1" t="str">
        <f t="shared" si="5"/>
        <v/>
      </c>
      <c r="L156">
        <v>1100</v>
      </c>
      <c r="Q156" t="str">
        <f t="shared" si="4"/>
        <v/>
      </c>
    </row>
    <row r="157" spans="1:17" x14ac:dyDescent="0.2">
      <c r="A157">
        <v>156</v>
      </c>
      <c r="B157" t="s">
        <v>190</v>
      </c>
      <c r="C157" t="s">
        <v>25</v>
      </c>
      <c r="D157" t="s">
        <v>21</v>
      </c>
      <c r="E157" t="s">
        <v>36</v>
      </c>
      <c r="F157" t="s">
        <v>51</v>
      </c>
      <c r="G157" s="1">
        <v>45874</v>
      </c>
      <c r="H157" s="1">
        <v>45899</v>
      </c>
      <c r="K157" s="1" t="str">
        <f t="shared" si="5"/>
        <v/>
      </c>
      <c r="L157">
        <v>1441</v>
      </c>
      <c r="Q157" t="str">
        <f t="shared" si="4"/>
        <v/>
      </c>
    </row>
    <row r="158" spans="1:17" x14ac:dyDescent="0.2">
      <c r="A158">
        <v>157</v>
      </c>
      <c r="B158" t="s">
        <v>191</v>
      </c>
      <c r="C158" t="s">
        <v>46</v>
      </c>
      <c r="D158" t="s">
        <v>26</v>
      </c>
      <c r="E158" t="s">
        <v>36</v>
      </c>
      <c r="F158" t="s">
        <v>51</v>
      </c>
      <c r="G158" s="1">
        <v>45797</v>
      </c>
      <c r="H158" s="1">
        <v>45811</v>
      </c>
      <c r="K158" s="1" t="str">
        <f t="shared" si="5"/>
        <v/>
      </c>
      <c r="L158">
        <v>478</v>
      </c>
      <c r="Q158" t="str">
        <f t="shared" si="4"/>
        <v/>
      </c>
    </row>
    <row r="159" spans="1:17" x14ac:dyDescent="0.2">
      <c r="A159">
        <v>158</v>
      </c>
      <c r="B159" t="s">
        <v>192</v>
      </c>
      <c r="C159" t="s">
        <v>25</v>
      </c>
      <c r="D159" t="s">
        <v>48</v>
      </c>
      <c r="E159" t="s">
        <v>14</v>
      </c>
      <c r="F159" t="s">
        <v>15</v>
      </c>
      <c r="G159" s="1">
        <v>45682</v>
      </c>
      <c r="H159" s="1">
        <v>45704</v>
      </c>
      <c r="I159" s="1">
        <v>45705</v>
      </c>
      <c r="J159" s="1">
        <v>45715</v>
      </c>
      <c r="K159" s="1" t="str">
        <f t="shared" si="5"/>
        <v>Feb-2025</v>
      </c>
      <c r="L159">
        <v>670</v>
      </c>
      <c r="Q159">
        <f t="shared" si="4"/>
        <v>33</v>
      </c>
    </row>
    <row r="160" spans="1:17" x14ac:dyDescent="0.2">
      <c r="A160">
        <v>159</v>
      </c>
      <c r="B160" t="s">
        <v>193</v>
      </c>
      <c r="C160" t="s">
        <v>35</v>
      </c>
      <c r="D160" t="s">
        <v>38</v>
      </c>
      <c r="E160" t="s">
        <v>14</v>
      </c>
      <c r="F160" t="s">
        <v>43</v>
      </c>
      <c r="G160" s="1">
        <v>45894</v>
      </c>
      <c r="K160" s="1" t="str">
        <f t="shared" si="5"/>
        <v/>
      </c>
      <c r="L160">
        <v>1901</v>
      </c>
      <c r="Q160" t="str">
        <f t="shared" si="4"/>
        <v/>
      </c>
    </row>
    <row r="161" spans="1:17" x14ac:dyDescent="0.2">
      <c r="A161">
        <v>160</v>
      </c>
      <c r="B161" t="s">
        <v>194</v>
      </c>
      <c r="C161" t="s">
        <v>46</v>
      </c>
      <c r="D161" t="s">
        <v>26</v>
      </c>
      <c r="E161" t="s">
        <v>49</v>
      </c>
      <c r="F161" t="s">
        <v>27</v>
      </c>
      <c r="G161" s="1">
        <v>45901</v>
      </c>
      <c r="H161" s="1">
        <v>45913</v>
      </c>
      <c r="I161" s="1">
        <v>45929</v>
      </c>
      <c r="K161" s="1" t="str">
        <f t="shared" si="5"/>
        <v/>
      </c>
      <c r="L161">
        <v>1523</v>
      </c>
      <c r="Q161" t="str">
        <f t="shared" si="4"/>
        <v/>
      </c>
    </row>
    <row r="162" spans="1:17" x14ac:dyDescent="0.2">
      <c r="A162">
        <v>161</v>
      </c>
      <c r="B162" t="s">
        <v>195</v>
      </c>
      <c r="C162" t="s">
        <v>35</v>
      </c>
      <c r="D162" t="s">
        <v>13</v>
      </c>
      <c r="E162" t="s">
        <v>33</v>
      </c>
      <c r="F162" t="s">
        <v>51</v>
      </c>
      <c r="G162" s="1">
        <v>45718</v>
      </c>
      <c r="H162" s="1">
        <v>45723</v>
      </c>
      <c r="K162" s="1" t="str">
        <f t="shared" si="5"/>
        <v/>
      </c>
      <c r="L162">
        <v>1124</v>
      </c>
      <c r="Q162" t="str">
        <f t="shared" si="4"/>
        <v/>
      </c>
    </row>
    <row r="163" spans="1:17" x14ac:dyDescent="0.2">
      <c r="A163">
        <v>162</v>
      </c>
      <c r="B163" t="s">
        <v>196</v>
      </c>
      <c r="C163" t="s">
        <v>17</v>
      </c>
      <c r="D163" t="s">
        <v>13</v>
      </c>
      <c r="E163" t="s">
        <v>14</v>
      </c>
      <c r="F163" t="s">
        <v>43</v>
      </c>
      <c r="G163" s="1">
        <v>45860</v>
      </c>
      <c r="K163" s="1" t="str">
        <f t="shared" si="5"/>
        <v/>
      </c>
      <c r="L163">
        <v>1000</v>
      </c>
      <c r="Q163" t="str">
        <f t="shared" si="4"/>
        <v/>
      </c>
    </row>
    <row r="164" spans="1:17" x14ac:dyDescent="0.2">
      <c r="A164">
        <v>163</v>
      </c>
      <c r="B164" t="s">
        <v>197</v>
      </c>
      <c r="C164" t="s">
        <v>25</v>
      </c>
      <c r="D164" t="s">
        <v>38</v>
      </c>
      <c r="E164" t="s">
        <v>22</v>
      </c>
      <c r="F164" t="s">
        <v>15</v>
      </c>
      <c r="G164" s="1">
        <v>45873</v>
      </c>
      <c r="H164" s="1">
        <v>45896</v>
      </c>
      <c r="I164" s="1">
        <v>45905</v>
      </c>
      <c r="J164" s="1">
        <v>45914</v>
      </c>
      <c r="K164" s="1" t="str">
        <f t="shared" si="5"/>
        <v>Sep-2025</v>
      </c>
      <c r="L164">
        <v>1013</v>
      </c>
      <c r="Q164">
        <f t="shared" si="4"/>
        <v>41</v>
      </c>
    </row>
    <row r="165" spans="1:17" x14ac:dyDescent="0.2">
      <c r="A165">
        <v>164</v>
      </c>
      <c r="B165" t="s">
        <v>198</v>
      </c>
      <c r="C165" t="s">
        <v>17</v>
      </c>
      <c r="D165" t="s">
        <v>21</v>
      </c>
      <c r="E165" t="s">
        <v>36</v>
      </c>
      <c r="F165" t="s">
        <v>31</v>
      </c>
      <c r="G165" s="1">
        <v>45884</v>
      </c>
      <c r="H165" s="1">
        <v>45901</v>
      </c>
      <c r="K165" s="1" t="str">
        <f t="shared" si="5"/>
        <v/>
      </c>
      <c r="L165">
        <v>1647</v>
      </c>
      <c r="Q165" t="str">
        <f t="shared" si="4"/>
        <v/>
      </c>
    </row>
    <row r="166" spans="1:17" x14ac:dyDescent="0.2">
      <c r="A166">
        <v>165</v>
      </c>
      <c r="B166" t="s">
        <v>199</v>
      </c>
      <c r="C166" t="s">
        <v>17</v>
      </c>
      <c r="D166" t="s">
        <v>21</v>
      </c>
      <c r="E166" t="s">
        <v>22</v>
      </c>
      <c r="F166" t="s">
        <v>31</v>
      </c>
      <c r="G166" s="1">
        <v>45924</v>
      </c>
      <c r="H166" s="1">
        <v>45931</v>
      </c>
      <c r="K166" s="1" t="str">
        <f t="shared" si="5"/>
        <v/>
      </c>
      <c r="L166">
        <v>391</v>
      </c>
      <c r="Q166" t="str">
        <f t="shared" si="4"/>
        <v/>
      </c>
    </row>
    <row r="167" spans="1:17" x14ac:dyDescent="0.2">
      <c r="A167">
        <v>166</v>
      </c>
      <c r="B167" t="s">
        <v>200</v>
      </c>
      <c r="C167" t="s">
        <v>46</v>
      </c>
      <c r="D167" t="s">
        <v>26</v>
      </c>
      <c r="E167" t="s">
        <v>33</v>
      </c>
      <c r="F167" t="s">
        <v>43</v>
      </c>
      <c r="G167" s="1">
        <v>45748</v>
      </c>
      <c r="K167" s="1" t="str">
        <f t="shared" si="5"/>
        <v/>
      </c>
      <c r="L167">
        <v>347</v>
      </c>
      <c r="Q167" t="str">
        <f t="shared" si="4"/>
        <v/>
      </c>
    </row>
    <row r="168" spans="1:17" x14ac:dyDescent="0.2">
      <c r="A168">
        <v>167</v>
      </c>
      <c r="B168" t="s">
        <v>201</v>
      </c>
      <c r="C168" t="s">
        <v>35</v>
      </c>
      <c r="D168" t="s">
        <v>13</v>
      </c>
      <c r="E168" t="s">
        <v>14</v>
      </c>
      <c r="F168" t="s">
        <v>18</v>
      </c>
      <c r="G168" s="1">
        <v>45709</v>
      </c>
      <c r="H168" s="1">
        <v>45717</v>
      </c>
      <c r="K168" s="1" t="str">
        <f t="shared" si="5"/>
        <v/>
      </c>
      <c r="L168">
        <v>809</v>
      </c>
      <c r="Q168" t="str">
        <f t="shared" si="4"/>
        <v/>
      </c>
    </row>
    <row r="169" spans="1:17" x14ac:dyDescent="0.2">
      <c r="A169">
        <v>168</v>
      </c>
      <c r="B169" t="s">
        <v>202</v>
      </c>
      <c r="C169" t="s">
        <v>46</v>
      </c>
      <c r="D169" t="s">
        <v>21</v>
      </c>
      <c r="E169" t="s">
        <v>33</v>
      </c>
      <c r="F169" t="s">
        <v>43</v>
      </c>
      <c r="G169" s="1">
        <v>45906</v>
      </c>
      <c r="K169" s="1" t="str">
        <f t="shared" si="5"/>
        <v/>
      </c>
      <c r="L169">
        <v>529</v>
      </c>
      <c r="Q169" t="str">
        <f t="shared" si="4"/>
        <v/>
      </c>
    </row>
    <row r="170" spans="1:17" x14ac:dyDescent="0.2">
      <c r="A170">
        <v>169</v>
      </c>
      <c r="B170" t="s">
        <v>203</v>
      </c>
      <c r="C170" t="s">
        <v>35</v>
      </c>
      <c r="D170" t="s">
        <v>38</v>
      </c>
      <c r="E170" t="s">
        <v>49</v>
      </c>
      <c r="F170" t="s">
        <v>31</v>
      </c>
      <c r="G170" s="1">
        <v>45918</v>
      </c>
      <c r="H170" s="1">
        <v>45927</v>
      </c>
      <c r="K170" s="1" t="str">
        <f t="shared" si="5"/>
        <v/>
      </c>
      <c r="L170">
        <v>1897</v>
      </c>
      <c r="Q170" t="str">
        <f t="shared" si="4"/>
        <v/>
      </c>
    </row>
    <row r="171" spans="1:17" x14ac:dyDescent="0.2">
      <c r="A171">
        <v>170</v>
      </c>
      <c r="B171" t="s">
        <v>204</v>
      </c>
      <c r="C171" t="s">
        <v>35</v>
      </c>
      <c r="D171" t="s">
        <v>48</v>
      </c>
      <c r="E171" t="s">
        <v>36</v>
      </c>
      <c r="F171" t="s">
        <v>23</v>
      </c>
      <c r="G171" s="1">
        <v>45951</v>
      </c>
      <c r="K171" s="1" t="str">
        <f t="shared" si="5"/>
        <v/>
      </c>
      <c r="L171">
        <v>1326</v>
      </c>
      <c r="Q171" t="str">
        <f t="shared" si="4"/>
        <v/>
      </c>
    </row>
    <row r="172" spans="1:17" x14ac:dyDescent="0.2">
      <c r="A172">
        <v>171</v>
      </c>
      <c r="B172" t="s">
        <v>205</v>
      </c>
      <c r="C172" t="s">
        <v>35</v>
      </c>
      <c r="D172" t="s">
        <v>30</v>
      </c>
      <c r="E172" t="s">
        <v>33</v>
      </c>
      <c r="F172" t="s">
        <v>27</v>
      </c>
      <c r="G172" s="1">
        <v>45741</v>
      </c>
      <c r="H172" s="1">
        <v>45750</v>
      </c>
      <c r="I172" s="1">
        <v>45773</v>
      </c>
      <c r="K172" s="1" t="str">
        <f t="shared" si="5"/>
        <v/>
      </c>
      <c r="L172">
        <v>1575</v>
      </c>
      <c r="Q172" t="str">
        <f t="shared" si="4"/>
        <v/>
      </c>
    </row>
    <row r="173" spans="1:17" x14ac:dyDescent="0.2">
      <c r="A173">
        <v>172</v>
      </c>
      <c r="B173" t="s">
        <v>206</v>
      </c>
      <c r="C173" t="s">
        <v>20</v>
      </c>
      <c r="D173" t="s">
        <v>26</v>
      </c>
      <c r="E173" t="s">
        <v>33</v>
      </c>
      <c r="F173" t="s">
        <v>43</v>
      </c>
      <c r="G173" s="1">
        <v>45900</v>
      </c>
      <c r="K173" s="1" t="str">
        <f t="shared" si="5"/>
        <v/>
      </c>
      <c r="L173">
        <v>1340</v>
      </c>
      <c r="Q173" t="str">
        <f t="shared" si="4"/>
        <v/>
      </c>
    </row>
    <row r="174" spans="1:17" x14ac:dyDescent="0.2">
      <c r="A174">
        <v>173</v>
      </c>
      <c r="B174" t="s">
        <v>207</v>
      </c>
      <c r="C174" t="s">
        <v>25</v>
      </c>
      <c r="D174" t="s">
        <v>13</v>
      </c>
      <c r="E174" t="s">
        <v>14</v>
      </c>
      <c r="F174" t="s">
        <v>31</v>
      </c>
      <c r="G174" s="1">
        <v>45679</v>
      </c>
      <c r="H174" s="1">
        <v>45692</v>
      </c>
      <c r="K174" s="1" t="str">
        <f t="shared" si="5"/>
        <v/>
      </c>
      <c r="L174">
        <v>1177</v>
      </c>
      <c r="Q174" t="str">
        <f t="shared" si="4"/>
        <v/>
      </c>
    </row>
    <row r="175" spans="1:17" x14ac:dyDescent="0.2">
      <c r="A175">
        <v>174</v>
      </c>
      <c r="B175" t="s">
        <v>208</v>
      </c>
      <c r="C175" t="s">
        <v>46</v>
      </c>
      <c r="D175" t="s">
        <v>48</v>
      </c>
      <c r="E175" t="s">
        <v>33</v>
      </c>
      <c r="F175" t="s">
        <v>31</v>
      </c>
      <c r="G175" s="1">
        <v>45774</v>
      </c>
      <c r="H175" s="1">
        <v>45786</v>
      </c>
      <c r="K175" s="1" t="str">
        <f t="shared" si="5"/>
        <v/>
      </c>
      <c r="L175">
        <v>1451</v>
      </c>
      <c r="Q175" t="str">
        <f t="shared" si="4"/>
        <v/>
      </c>
    </row>
    <row r="176" spans="1:17" x14ac:dyDescent="0.2">
      <c r="A176">
        <v>175</v>
      </c>
      <c r="B176" t="s">
        <v>209</v>
      </c>
      <c r="C176" t="s">
        <v>20</v>
      </c>
      <c r="D176" t="s">
        <v>48</v>
      </c>
      <c r="E176" t="s">
        <v>36</v>
      </c>
      <c r="F176" t="s">
        <v>15</v>
      </c>
      <c r="G176" s="1">
        <v>45685</v>
      </c>
      <c r="H176" s="1">
        <v>45702</v>
      </c>
      <c r="I176" s="1">
        <v>45719</v>
      </c>
      <c r="J176" s="1">
        <v>45724</v>
      </c>
      <c r="K176" s="1" t="str">
        <f t="shared" si="5"/>
        <v>Mar-2025</v>
      </c>
      <c r="L176">
        <v>1863</v>
      </c>
      <c r="Q176">
        <f t="shared" si="4"/>
        <v>39</v>
      </c>
    </row>
    <row r="177" spans="1:17" x14ac:dyDescent="0.2">
      <c r="A177">
        <v>176</v>
      </c>
      <c r="B177" t="s">
        <v>210</v>
      </c>
      <c r="C177" t="s">
        <v>17</v>
      </c>
      <c r="D177" t="s">
        <v>13</v>
      </c>
      <c r="E177" t="s">
        <v>49</v>
      </c>
      <c r="F177" t="s">
        <v>51</v>
      </c>
      <c r="G177" s="1">
        <v>45667</v>
      </c>
      <c r="H177" s="1">
        <v>45681</v>
      </c>
      <c r="K177" s="1" t="str">
        <f t="shared" si="5"/>
        <v/>
      </c>
      <c r="L177">
        <v>624</v>
      </c>
      <c r="Q177" t="str">
        <f t="shared" si="4"/>
        <v/>
      </c>
    </row>
    <row r="178" spans="1:17" x14ac:dyDescent="0.2">
      <c r="A178">
        <v>177</v>
      </c>
      <c r="B178" t="s">
        <v>211</v>
      </c>
      <c r="C178" t="s">
        <v>25</v>
      </c>
      <c r="D178" t="s">
        <v>38</v>
      </c>
      <c r="E178" t="s">
        <v>22</v>
      </c>
      <c r="F178" t="s">
        <v>31</v>
      </c>
      <c r="G178" s="1">
        <v>45834</v>
      </c>
      <c r="H178" s="1">
        <v>45840</v>
      </c>
      <c r="K178" s="1" t="str">
        <f t="shared" si="5"/>
        <v/>
      </c>
      <c r="L178">
        <v>1666</v>
      </c>
      <c r="Q178" t="str">
        <f t="shared" si="4"/>
        <v/>
      </c>
    </row>
    <row r="179" spans="1:17" x14ac:dyDescent="0.2">
      <c r="A179">
        <v>178</v>
      </c>
      <c r="B179" t="s">
        <v>212</v>
      </c>
      <c r="C179" t="s">
        <v>17</v>
      </c>
      <c r="D179" t="s">
        <v>30</v>
      </c>
      <c r="E179" t="s">
        <v>22</v>
      </c>
      <c r="F179" t="s">
        <v>27</v>
      </c>
      <c r="G179" s="1">
        <v>45897</v>
      </c>
      <c r="H179" s="1">
        <v>45922</v>
      </c>
      <c r="I179" s="1">
        <v>45928</v>
      </c>
      <c r="K179" s="1" t="str">
        <f t="shared" si="5"/>
        <v/>
      </c>
      <c r="L179">
        <v>251</v>
      </c>
      <c r="Q179" t="str">
        <f t="shared" si="4"/>
        <v/>
      </c>
    </row>
    <row r="180" spans="1:17" x14ac:dyDescent="0.2">
      <c r="A180">
        <v>179</v>
      </c>
      <c r="B180" t="s">
        <v>213</v>
      </c>
      <c r="C180" t="s">
        <v>35</v>
      </c>
      <c r="D180" t="s">
        <v>13</v>
      </c>
      <c r="E180" t="s">
        <v>14</v>
      </c>
      <c r="F180" t="s">
        <v>51</v>
      </c>
      <c r="G180" s="1">
        <v>45942</v>
      </c>
      <c r="H180" s="1">
        <v>45954</v>
      </c>
      <c r="K180" s="1" t="str">
        <f t="shared" si="5"/>
        <v/>
      </c>
      <c r="L180">
        <v>810</v>
      </c>
      <c r="Q180" t="str">
        <f t="shared" si="4"/>
        <v/>
      </c>
    </row>
    <row r="181" spans="1:17" x14ac:dyDescent="0.2">
      <c r="A181">
        <v>180</v>
      </c>
      <c r="B181" t="s">
        <v>214</v>
      </c>
      <c r="C181" t="s">
        <v>25</v>
      </c>
      <c r="D181" t="s">
        <v>48</v>
      </c>
      <c r="E181" t="s">
        <v>33</v>
      </c>
      <c r="F181" t="s">
        <v>51</v>
      </c>
      <c r="G181" s="1">
        <v>45867</v>
      </c>
      <c r="H181" s="1">
        <v>45872</v>
      </c>
      <c r="K181" s="1" t="str">
        <f t="shared" si="5"/>
        <v/>
      </c>
      <c r="L181">
        <v>923</v>
      </c>
      <c r="Q181" t="str">
        <f t="shared" si="4"/>
        <v/>
      </c>
    </row>
    <row r="182" spans="1:17" x14ac:dyDescent="0.2">
      <c r="A182">
        <v>181</v>
      </c>
      <c r="B182" t="s">
        <v>215</v>
      </c>
      <c r="C182" t="s">
        <v>17</v>
      </c>
      <c r="D182" t="s">
        <v>13</v>
      </c>
      <c r="E182" t="s">
        <v>14</v>
      </c>
      <c r="F182" t="s">
        <v>23</v>
      </c>
      <c r="G182" s="1">
        <v>45821</v>
      </c>
      <c r="K182" s="1" t="str">
        <f t="shared" si="5"/>
        <v/>
      </c>
      <c r="L182">
        <v>454</v>
      </c>
      <c r="Q182" t="str">
        <f t="shared" si="4"/>
        <v/>
      </c>
    </row>
    <row r="183" spans="1:17" x14ac:dyDescent="0.2">
      <c r="A183">
        <v>182</v>
      </c>
      <c r="B183" t="s">
        <v>216</v>
      </c>
      <c r="C183" t="s">
        <v>46</v>
      </c>
      <c r="D183" t="s">
        <v>21</v>
      </c>
      <c r="E183" t="s">
        <v>22</v>
      </c>
      <c r="F183" t="s">
        <v>51</v>
      </c>
      <c r="G183" s="1">
        <v>45955</v>
      </c>
      <c r="H183" s="1">
        <v>45974</v>
      </c>
      <c r="K183" s="1" t="str">
        <f t="shared" si="5"/>
        <v/>
      </c>
      <c r="L183">
        <v>524</v>
      </c>
      <c r="Q183" t="str">
        <f t="shared" si="4"/>
        <v/>
      </c>
    </row>
    <row r="184" spans="1:17" x14ac:dyDescent="0.2">
      <c r="A184">
        <v>183</v>
      </c>
      <c r="B184" t="s">
        <v>217</v>
      </c>
      <c r="C184" t="s">
        <v>35</v>
      </c>
      <c r="D184" t="s">
        <v>30</v>
      </c>
      <c r="E184" t="s">
        <v>36</v>
      </c>
      <c r="F184" t="s">
        <v>43</v>
      </c>
      <c r="G184" s="1">
        <v>45835</v>
      </c>
      <c r="K184" s="1" t="str">
        <f t="shared" si="5"/>
        <v/>
      </c>
      <c r="L184">
        <v>219</v>
      </c>
      <c r="Q184" t="str">
        <f t="shared" si="4"/>
        <v/>
      </c>
    </row>
    <row r="185" spans="1:17" x14ac:dyDescent="0.2">
      <c r="A185">
        <v>184</v>
      </c>
      <c r="B185" t="s">
        <v>218</v>
      </c>
      <c r="C185" t="s">
        <v>46</v>
      </c>
      <c r="D185" t="s">
        <v>13</v>
      </c>
      <c r="E185" t="s">
        <v>36</v>
      </c>
      <c r="F185" t="s">
        <v>15</v>
      </c>
      <c r="G185" s="1">
        <v>45716</v>
      </c>
      <c r="H185" s="1">
        <v>45722</v>
      </c>
      <c r="I185" s="1">
        <v>45754</v>
      </c>
      <c r="J185" s="1">
        <v>45762</v>
      </c>
      <c r="K185" s="1" t="str">
        <f t="shared" si="5"/>
        <v>Apr-2025</v>
      </c>
      <c r="L185">
        <v>1723</v>
      </c>
      <c r="Q185">
        <f t="shared" si="4"/>
        <v>46</v>
      </c>
    </row>
    <row r="186" spans="1:17" x14ac:dyDescent="0.2">
      <c r="A186">
        <v>185</v>
      </c>
      <c r="B186" t="s">
        <v>219</v>
      </c>
      <c r="C186" t="s">
        <v>17</v>
      </c>
      <c r="D186" t="s">
        <v>21</v>
      </c>
      <c r="E186" t="s">
        <v>22</v>
      </c>
      <c r="F186" t="s">
        <v>15</v>
      </c>
      <c r="G186" s="1">
        <v>45736</v>
      </c>
      <c r="H186" s="1">
        <v>45749</v>
      </c>
      <c r="I186" s="1">
        <v>45761</v>
      </c>
      <c r="J186" s="1">
        <v>45768</v>
      </c>
      <c r="K186" s="1" t="str">
        <f t="shared" si="5"/>
        <v>Apr-2025</v>
      </c>
      <c r="L186">
        <v>1466</v>
      </c>
      <c r="Q186">
        <f t="shared" si="4"/>
        <v>32</v>
      </c>
    </row>
    <row r="187" spans="1:17" x14ac:dyDescent="0.2">
      <c r="A187">
        <v>186</v>
      </c>
      <c r="B187" t="s">
        <v>220</v>
      </c>
      <c r="C187" t="s">
        <v>35</v>
      </c>
      <c r="D187" t="s">
        <v>30</v>
      </c>
      <c r="E187" t="s">
        <v>22</v>
      </c>
      <c r="F187" t="s">
        <v>15</v>
      </c>
      <c r="G187" s="1">
        <v>45688</v>
      </c>
      <c r="H187" s="1">
        <v>45711</v>
      </c>
      <c r="I187" s="1">
        <v>45716</v>
      </c>
      <c r="J187" s="1">
        <v>45721</v>
      </c>
      <c r="K187" s="1" t="str">
        <f t="shared" si="5"/>
        <v>Mar-2025</v>
      </c>
      <c r="L187">
        <v>628</v>
      </c>
      <c r="Q187">
        <f t="shared" si="4"/>
        <v>33</v>
      </c>
    </row>
    <row r="188" spans="1:17" x14ac:dyDescent="0.2">
      <c r="A188">
        <v>187</v>
      </c>
      <c r="B188" t="s">
        <v>221</v>
      </c>
      <c r="C188" t="s">
        <v>46</v>
      </c>
      <c r="D188" t="s">
        <v>38</v>
      </c>
      <c r="E188" t="s">
        <v>22</v>
      </c>
      <c r="F188" t="s">
        <v>51</v>
      </c>
      <c r="G188" s="1">
        <v>45922</v>
      </c>
      <c r="H188" s="1">
        <v>45946</v>
      </c>
      <c r="K188" s="1" t="str">
        <f t="shared" si="5"/>
        <v/>
      </c>
      <c r="L188">
        <v>1806</v>
      </c>
      <c r="Q188" t="str">
        <f t="shared" si="4"/>
        <v/>
      </c>
    </row>
    <row r="189" spans="1:17" x14ac:dyDescent="0.2">
      <c r="A189">
        <v>188</v>
      </c>
      <c r="B189" t="s">
        <v>222</v>
      </c>
      <c r="C189" t="s">
        <v>12</v>
      </c>
      <c r="D189" t="s">
        <v>26</v>
      </c>
      <c r="E189" t="s">
        <v>22</v>
      </c>
      <c r="F189" t="s">
        <v>51</v>
      </c>
      <c r="G189" s="1">
        <v>45785</v>
      </c>
      <c r="H189" s="1">
        <v>45794</v>
      </c>
      <c r="K189" s="1" t="str">
        <f t="shared" si="5"/>
        <v/>
      </c>
      <c r="L189">
        <v>1770</v>
      </c>
      <c r="Q189" t="str">
        <f t="shared" si="4"/>
        <v/>
      </c>
    </row>
    <row r="190" spans="1:17" x14ac:dyDescent="0.2">
      <c r="A190">
        <v>189</v>
      </c>
      <c r="B190" t="s">
        <v>223</v>
      </c>
      <c r="C190" t="s">
        <v>46</v>
      </c>
      <c r="D190" t="s">
        <v>21</v>
      </c>
      <c r="E190" t="s">
        <v>36</v>
      </c>
      <c r="F190" t="s">
        <v>15</v>
      </c>
      <c r="G190" s="1">
        <v>45828</v>
      </c>
      <c r="H190" s="1">
        <v>45847</v>
      </c>
      <c r="I190" s="1">
        <v>45852</v>
      </c>
      <c r="J190" s="1">
        <v>45861</v>
      </c>
      <c r="K190" s="1" t="str">
        <f t="shared" si="5"/>
        <v>Jul-2025</v>
      </c>
      <c r="L190">
        <v>971</v>
      </c>
      <c r="Q190">
        <f t="shared" si="4"/>
        <v>33</v>
      </c>
    </row>
    <row r="191" spans="1:17" x14ac:dyDescent="0.2">
      <c r="A191">
        <v>190</v>
      </c>
      <c r="B191" t="s">
        <v>224</v>
      </c>
      <c r="C191" t="s">
        <v>46</v>
      </c>
      <c r="D191" t="s">
        <v>26</v>
      </c>
      <c r="E191" t="s">
        <v>33</v>
      </c>
      <c r="F191" t="s">
        <v>51</v>
      </c>
      <c r="G191" s="1">
        <v>45780</v>
      </c>
      <c r="H191" s="1">
        <v>45804</v>
      </c>
      <c r="K191" s="1" t="str">
        <f t="shared" si="5"/>
        <v/>
      </c>
      <c r="L191">
        <v>621</v>
      </c>
      <c r="Q191" t="str">
        <f t="shared" si="4"/>
        <v/>
      </c>
    </row>
    <row r="192" spans="1:17" x14ac:dyDescent="0.2">
      <c r="A192">
        <v>191</v>
      </c>
      <c r="B192" t="s">
        <v>225</v>
      </c>
      <c r="C192" t="s">
        <v>35</v>
      </c>
      <c r="D192" t="s">
        <v>13</v>
      </c>
      <c r="E192" t="s">
        <v>14</v>
      </c>
      <c r="F192" t="s">
        <v>18</v>
      </c>
      <c r="G192" s="1">
        <v>45763</v>
      </c>
      <c r="H192" s="1">
        <v>45778</v>
      </c>
      <c r="K192" s="1" t="str">
        <f t="shared" si="5"/>
        <v/>
      </c>
      <c r="L192">
        <v>457</v>
      </c>
      <c r="Q192" t="str">
        <f t="shared" si="4"/>
        <v/>
      </c>
    </row>
    <row r="193" spans="1:17" x14ac:dyDescent="0.2">
      <c r="A193">
        <v>192</v>
      </c>
      <c r="B193" t="s">
        <v>226</v>
      </c>
      <c r="C193" t="s">
        <v>46</v>
      </c>
      <c r="D193" t="s">
        <v>30</v>
      </c>
      <c r="E193" t="s">
        <v>36</v>
      </c>
      <c r="F193" t="s">
        <v>23</v>
      </c>
      <c r="G193" s="1">
        <v>45907</v>
      </c>
      <c r="K193" s="1" t="str">
        <f t="shared" si="5"/>
        <v/>
      </c>
      <c r="L193">
        <v>859</v>
      </c>
      <c r="Q193" t="str">
        <f t="shared" si="4"/>
        <v/>
      </c>
    </row>
    <row r="194" spans="1:17" x14ac:dyDescent="0.2">
      <c r="A194">
        <v>193</v>
      </c>
      <c r="B194" t="s">
        <v>227</v>
      </c>
      <c r="C194" t="s">
        <v>46</v>
      </c>
      <c r="D194" t="s">
        <v>30</v>
      </c>
      <c r="E194" t="s">
        <v>33</v>
      </c>
      <c r="F194" t="s">
        <v>31</v>
      </c>
      <c r="G194" s="1">
        <v>45922</v>
      </c>
      <c r="H194" s="1">
        <v>45939</v>
      </c>
      <c r="K194" s="1" t="str">
        <f t="shared" si="5"/>
        <v/>
      </c>
      <c r="L194">
        <v>278</v>
      </c>
      <c r="Q194" t="str">
        <f t="shared" ref="Q194:Q257" si="6">IF(J194="","",J194-G194)</f>
        <v/>
      </c>
    </row>
    <row r="195" spans="1:17" x14ac:dyDescent="0.2">
      <c r="A195">
        <v>194</v>
      </c>
      <c r="B195" t="s">
        <v>228</v>
      </c>
      <c r="C195" t="s">
        <v>12</v>
      </c>
      <c r="D195" t="s">
        <v>48</v>
      </c>
      <c r="E195" t="s">
        <v>49</v>
      </c>
      <c r="F195" t="s">
        <v>23</v>
      </c>
      <c r="G195" s="1">
        <v>45680</v>
      </c>
      <c r="K195" s="1" t="str">
        <f t="shared" ref="K195:K258" si="7">IF(J195="","",TEXT(J195,"mmm-yyyy"))</f>
        <v/>
      </c>
      <c r="L195">
        <v>1190</v>
      </c>
      <c r="Q195" t="str">
        <f t="shared" si="6"/>
        <v/>
      </c>
    </row>
    <row r="196" spans="1:17" x14ac:dyDescent="0.2">
      <c r="A196">
        <v>195</v>
      </c>
      <c r="B196" t="s">
        <v>229</v>
      </c>
      <c r="C196" t="s">
        <v>35</v>
      </c>
      <c r="D196" t="s">
        <v>48</v>
      </c>
      <c r="E196" t="s">
        <v>36</v>
      </c>
      <c r="F196" t="s">
        <v>31</v>
      </c>
      <c r="G196" s="1">
        <v>45713</v>
      </c>
      <c r="H196" s="1">
        <v>45726</v>
      </c>
      <c r="K196" s="1" t="str">
        <f t="shared" si="7"/>
        <v/>
      </c>
      <c r="L196">
        <v>1200</v>
      </c>
      <c r="Q196" t="str">
        <f t="shared" si="6"/>
        <v/>
      </c>
    </row>
    <row r="197" spans="1:17" x14ac:dyDescent="0.2">
      <c r="A197">
        <v>196</v>
      </c>
      <c r="B197" t="s">
        <v>230</v>
      </c>
      <c r="C197" t="s">
        <v>17</v>
      </c>
      <c r="D197" t="s">
        <v>48</v>
      </c>
      <c r="E197" t="s">
        <v>14</v>
      </c>
      <c r="F197" t="s">
        <v>23</v>
      </c>
      <c r="G197" s="1">
        <v>45929</v>
      </c>
      <c r="K197" s="1" t="str">
        <f t="shared" si="7"/>
        <v/>
      </c>
      <c r="L197">
        <v>1571</v>
      </c>
      <c r="Q197" t="str">
        <f t="shared" si="6"/>
        <v/>
      </c>
    </row>
    <row r="198" spans="1:17" x14ac:dyDescent="0.2">
      <c r="A198">
        <v>197</v>
      </c>
      <c r="B198" t="s">
        <v>231</v>
      </c>
      <c r="C198" t="s">
        <v>25</v>
      </c>
      <c r="D198" t="s">
        <v>30</v>
      </c>
      <c r="E198" t="s">
        <v>36</v>
      </c>
      <c r="F198" t="s">
        <v>43</v>
      </c>
      <c r="G198" s="1">
        <v>45852</v>
      </c>
      <c r="K198" s="1" t="str">
        <f t="shared" si="7"/>
        <v/>
      </c>
      <c r="L198">
        <v>1329</v>
      </c>
      <c r="Q198" t="str">
        <f t="shared" si="6"/>
        <v/>
      </c>
    </row>
    <row r="199" spans="1:17" x14ac:dyDescent="0.2">
      <c r="A199">
        <v>198</v>
      </c>
      <c r="B199" t="s">
        <v>232</v>
      </c>
      <c r="C199" t="s">
        <v>35</v>
      </c>
      <c r="D199" t="s">
        <v>38</v>
      </c>
      <c r="E199" t="s">
        <v>33</v>
      </c>
      <c r="F199" t="s">
        <v>43</v>
      </c>
      <c r="G199" s="1">
        <v>45660</v>
      </c>
      <c r="K199" s="1" t="str">
        <f t="shared" si="7"/>
        <v/>
      </c>
      <c r="L199">
        <v>1184</v>
      </c>
      <c r="Q199" t="str">
        <f t="shared" si="6"/>
        <v/>
      </c>
    </row>
    <row r="200" spans="1:17" x14ac:dyDescent="0.2">
      <c r="A200">
        <v>199</v>
      </c>
      <c r="B200" t="s">
        <v>233</v>
      </c>
      <c r="C200" t="s">
        <v>46</v>
      </c>
      <c r="D200" t="s">
        <v>48</v>
      </c>
      <c r="E200" t="s">
        <v>14</v>
      </c>
      <c r="F200" t="s">
        <v>18</v>
      </c>
      <c r="G200" s="1">
        <v>45667</v>
      </c>
      <c r="H200" s="1">
        <v>45690</v>
      </c>
      <c r="K200" s="1" t="str">
        <f t="shared" si="7"/>
        <v/>
      </c>
      <c r="L200">
        <v>1971</v>
      </c>
      <c r="Q200" t="str">
        <f t="shared" si="6"/>
        <v/>
      </c>
    </row>
    <row r="201" spans="1:17" x14ac:dyDescent="0.2">
      <c r="A201">
        <v>200</v>
      </c>
      <c r="B201" t="s">
        <v>234</v>
      </c>
      <c r="C201" t="s">
        <v>35</v>
      </c>
      <c r="D201" t="s">
        <v>21</v>
      </c>
      <c r="E201" t="s">
        <v>33</v>
      </c>
      <c r="F201" t="s">
        <v>27</v>
      </c>
      <c r="G201" s="1">
        <v>45762</v>
      </c>
      <c r="H201" s="1">
        <v>45783</v>
      </c>
      <c r="I201" s="1">
        <v>45801</v>
      </c>
      <c r="K201" s="1" t="str">
        <f t="shared" si="7"/>
        <v/>
      </c>
      <c r="L201">
        <v>1406</v>
      </c>
      <c r="Q201" t="str">
        <f t="shared" si="6"/>
        <v/>
      </c>
    </row>
    <row r="202" spans="1:17" x14ac:dyDescent="0.2">
      <c r="A202">
        <v>201</v>
      </c>
      <c r="B202" t="s">
        <v>235</v>
      </c>
      <c r="C202" t="s">
        <v>46</v>
      </c>
      <c r="D202" t="s">
        <v>26</v>
      </c>
      <c r="E202" t="s">
        <v>49</v>
      </c>
      <c r="F202" t="s">
        <v>15</v>
      </c>
      <c r="G202" s="1">
        <v>45863</v>
      </c>
      <c r="H202" s="1">
        <v>45878</v>
      </c>
      <c r="I202" s="1">
        <v>45894</v>
      </c>
      <c r="J202" s="1">
        <v>45897</v>
      </c>
      <c r="K202" s="1" t="str">
        <f t="shared" si="7"/>
        <v>Aug-2025</v>
      </c>
      <c r="L202">
        <v>1012</v>
      </c>
      <c r="Q202">
        <f t="shared" si="6"/>
        <v>34</v>
      </c>
    </row>
    <row r="203" spans="1:17" x14ac:dyDescent="0.2">
      <c r="A203">
        <v>202</v>
      </c>
      <c r="B203" t="s">
        <v>236</v>
      </c>
      <c r="C203" t="s">
        <v>17</v>
      </c>
      <c r="D203" t="s">
        <v>26</v>
      </c>
      <c r="E203" t="s">
        <v>14</v>
      </c>
      <c r="F203" t="s">
        <v>18</v>
      </c>
      <c r="G203" s="1">
        <v>45838</v>
      </c>
      <c r="H203" s="1">
        <v>45851</v>
      </c>
      <c r="K203" s="1" t="str">
        <f t="shared" si="7"/>
        <v/>
      </c>
      <c r="L203">
        <v>1936</v>
      </c>
      <c r="Q203" t="str">
        <f t="shared" si="6"/>
        <v/>
      </c>
    </row>
    <row r="204" spans="1:17" x14ac:dyDescent="0.2">
      <c r="A204">
        <v>203</v>
      </c>
      <c r="B204" t="s">
        <v>237</v>
      </c>
      <c r="C204" t="s">
        <v>25</v>
      </c>
      <c r="D204" t="s">
        <v>38</v>
      </c>
      <c r="E204" t="s">
        <v>22</v>
      </c>
      <c r="F204" t="s">
        <v>43</v>
      </c>
      <c r="G204" s="1">
        <v>45762</v>
      </c>
      <c r="K204" s="1" t="str">
        <f t="shared" si="7"/>
        <v/>
      </c>
      <c r="L204">
        <v>527</v>
      </c>
      <c r="Q204" t="str">
        <f t="shared" si="6"/>
        <v/>
      </c>
    </row>
    <row r="205" spans="1:17" x14ac:dyDescent="0.2">
      <c r="A205">
        <v>204</v>
      </c>
      <c r="B205" t="s">
        <v>238</v>
      </c>
      <c r="C205" t="s">
        <v>35</v>
      </c>
      <c r="D205" t="s">
        <v>38</v>
      </c>
      <c r="E205" t="s">
        <v>36</v>
      </c>
      <c r="F205" t="s">
        <v>15</v>
      </c>
      <c r="G205" s="1">
        <v>45669</v>
      </c>
      <c r="H205" s="1">
        <v>45678</v>
      </c>
      <c r="I205" s="1">
        <v>45699</v>
      </c>
      <c r="J205" s="1">
        <v>45709</v>
      </c>
      <c r="K205" s="1" t="str">
        <f t="shared" si="7"/>
        <v>Feb-2025</v>
      </c>
      <c r="L205">
        <v>267</v>
      </c>
      <c r="Q205">
        <f t="shared" si="6"/>
        <v>40</v>
      </c>
    </row>
    <row r="206" spans="1:17" x14ac:dyDescent="0.2">
      <c r="A206">
        <v>205</v>
      </c>
      <c r="B206" t="s">
        <v>239</v>
      </c>
      <c r="C206" t="s">
        <v>25</v>
      </c>
      <c r="D206" t="s">
        <v>38</v>
      </c>
      <c r="E206" t="s">
        <v>14</v>
      </c>
      <c r="F206" t="s">
        <v>43</v>
      </c>
      <c r="G206" s="1">
        <v>45873</v>
      </c>
      <c r="K206" s="1" t="str">
        <f t="shared" si="7"/>
        <v/>
      </c>
      <c r="L206">
        <v>243</v>
      </c>
      <c r="Q206" t="str">
        <f t="shared" si="6"/>
        <v/>
      </c>
    </row>
    <row r="207" spans="1:17" x14ac:dyDescent="0.2">
      <c r="A207">
        <v>206</v>
      </c>
      <c r="B207" t="s">
        <v>240</v>
      </c>
      <c r="C207" t="s">
        <v>46</v>
      </c>
      <c r="D207" t="s">
        <v>21</v>
      </c>
      <c r="E207" t="s">
        <v>49</v>
      </c>
      <c r="F207" t="s">
        <v>43</v>
      </c>
      <c r="G207" s="1">
        <v>45864</v>
      </c>
      <c r="K207" s="1" t="str">
        <f t="shared" si="7"/>
        <v/>
      </c>
      <c r="L207">
        <v>1921</v>
      </c>
      <c r="Q207" t="str">
        <f t="shared" si="6"/>
        <v/>
      </c>
    </row>
    <row r="208" spans="1:17" x14ac:dyDescent="0.2">
      <c r="A208">
        <v>207</v>
      </c>
      <c r="B208" t="s">
        <v>241</v>
      </c>
      <c r="C208" t="s">
        <v>12</v>
      </c>
      <c r="D208" t="s">
        <v>13</v>
      </c>
      <c r="E208" t="s">
        <v>33</v>
      </c>
      <c r="F208" t="s">
        <v>27</v>
      </c>
      <c r="G208" s="1">
        <v>45715</v>
      </c>
      <c r="H208" s="1">
        <v>45722</v>
      </c>
      <c r="I208" s="1">
        <v>45750</v>
      </c>
      <c r="K208" s="1" t="str">
        <f t="shared" si="7"/>
        <v/>
      </c>
      <c r="L208">
        <v>1669</v>
      </c>
      <c r="Q208" t="str">
        <f t="shared" si="6"/>
        <v/>
      </c>
    </row>
    <row r="209" spans="1:17" x14ac:dyDescent="0.2">
      <c r="A209">
        <v>208</v>
      </c>
      <c r="B209" t="s">
        <v>242</v>
      </c>
      <c r="C209" t="s">
        <v>35</v>
      </c>
      <c r="D209" t="s">
        <v>48</v>
      </c>
      <c r="E209" t="s">
        <v>14</v>
      </c>
      <c r="F209" t="s">
        <v>15</v>
      </c>
      <c r="G209" s="1">
        <v>45940</v>
      </c>
      <c r="H209" s="1">
        <v>45961</v>
      </c>
      <c r="I209" s="1">
        <v>45963</v>
      </c>
      <c r="J209" s="1">
        <v>45969</v>
      </c>
      <c r="K209" s="1" t="str">
        <f t="shared" si="7"/>
        <v>Nov-2025</v>
      </c>
      <c r="L209">
        <v>900</v>
      </c>
      <c r="Q209">
        <f t="shared" si="6"/>
        <v>29</v>
      </c>
    </row>
    <row r="210" spans="1:17" x14ac:dyDescent="0.2">
      <c r="A210">
        <v>209</v>
      </c>
      <c r="B210" t="s">
        <v>243</v>
      </c>
      <c r="C210" t="s">
        <v>46</v>
      </c>
      <c r="D210" t="s">
        <v>26</v>
      </c>
      <c r="E210" t="s">
        <v>33</v>
      </c>
      <c r="F210" t="s">
        <v>15</v>
      </c>
      <c r="G210" s="1">
        <v>45898</v>
      </c>
      <c r="H210" s="1">
        <v>45914</v>
      </c>
      <c r="I210" s="1">
        <v>45920</v>
      </c>
      <c r="J210" s="1">
        <v>45930</v>
      </c>
      <c r="K210" s="1" t="str">
        <f t="shared" si="7"/>
        <v>Sep-2025</v>
      </c>
      <c r="L210">
        <v>1480</v>
      </c>
      <c r="Q210">
        <f t="shared" si="6"/>
        <v>32</v>
      </c>
    </row>
    <row r="211" spans="1:17" x14ac:dyDescent="0.2">
      <c r="A211">
        <v>210</v>
      </c>
      <c r="B211" t="s">
        <v>244</v>
      </c>
      <c r="C211" t="s">
        <v>46</v>
      </c>
      <c r="D211" t="s">
        <v>48</v>
      </c>
      <c r="E211" t="s">
        <v>36</v>
      </c>
      <c r="F211" t="s">
        <v>18</v>
      </c>
      <c r="G211" s="1">
        <v>45728</v>
      </c>
      <c r="H211" s="1">
        <v>45742</v>
      </c>
      <c r="K211" s="1" t="str">
        <f t="shared" si="7"/>
        <v/>
      </c>
      <c r="L211">
        <v>697</v>
      </c>
      <c r="Q211" t="str">
        <f t="shared" si="6"/>
        <v/>
      </c>
    </row>
    <row r="212" spans="1:17" x14ac:dyDescent="0.2">
      <c r="A212">
        <v>211</v>
      </c>
      <c r="B212" t="s">
        <v>245</v>
      </c>
      <c r="C212" t="s">
        <v>25</v>
      </c>
      <c r="D212" t="s">
        <v>21</v>
      </c>
      <c r="E212" t="s">
        <v>49</v>
      </c>
      <c r="F212" t="s">
        <v>18</v>
      </c>
      <c r="G212" s="1">
        <v>45824</v>
      </c>
      <c r="H212" s="1">
        <v>45842</v>
      </c>
      <c r="K212" s="1" t="str">
        <f t="shared" si="7"/>
        <v/>
      </c>
      <c r="L212">
        <v>696</v>
      </c>
      <c r="Q212" t="str">
        <f t="shared" si="6"/>
        <v/>
      </c>
    </row>
    <row r="213" spans="1:17" x14ac:dyDescent="0.2">
      <c r="A213">
        <v>212</v>
      </c>
      <c r="B213" t="s">
        <v>246</v>
      </c>
      <c r="C213" t="s">
        <v>35</v>
      </c>
      <c r="D213" t="s">
        <v>30</v>
      </c>
      <c r="E213" t="s">
        <v>49</v>
      </c>
      <c r="F213" t="s">
        <v>43</v>
      </c>
      <c r="G213" s="1">
        <v>45794</v>
      </c>
      <c r="K213" s="1" t="str">
        <f t="shared" si="7"/>
        <v/>
      </c>
      <c r="L213">
        <v>211</v>
      </c>
      <c r="Q213" t="str">
        <f t="shared" si="6"/>
        <v/>
      </c>
    </row>
    <row r="214" spans="1:17" x14ac:dyDescent="0.2">
      <c r="A214">
        <v>213</v>
      </c>
      <c r="B214" t="s">
        <v>247</v>
      </c>
      <c r="C214" t="s">
        <v>20</v>
      </c>
      <c r="D214" t="s">
        <v>26</v>
      </c>
      <c r="E214" t="s">
        <v>36</v>
      </c>
      <c r="F214" t="s">
        <v>31</v>
      </c>
      <c r="G214" s="1">
        <v>45745</v>
      </c>
      <c r="H214" s="1">
        <v>45769</v>
      </c>
      <c r="K214" s="1" t="str">
        <f t="shared" si="7"/>
        <v/>
      </c>
      <c r="L214">
        <v>893</v>
      </c>
      <c r="Q214" t="str">
        <f t="shared" si="6"/>
        <v/>
      </c>
    </row>
    <row r="215" spans="1:17" x14ac:dyDescent="0.2">
      <c r="A215">
        <v>214</v>
      </c>
      <c r="B215" t="s">
        <v>248</v>
      </c>
      <c r="C215" t="s">
        <v>17</v>
      </c>
      <c r="D215" t="s">
        <v>30</v>
      </c>
      <c r="E215" t="s">
        <v>22</v>
      </c>
      <c r="F215" t="s">
        <v>27</v>
      </c>
      <c r="G215" s="1">
        <v>45785</v>
      </c>
      <c r="H215" s="1">
        <v>45798</v>
      </c>
      <c r="I215" s="1">
        <v>45815</v>
      </c>
      <c r="K215" s="1" t="str">
        <f t="shared" si="7"/>
        <v/>
      </c>
      <c r="L215">
        <v>999</v>
      </c>
      <c r="Q215" t="str">
        <f t="shared" si="6"/>
        <v/>
      </c>
    </row>
    <row r="216" spans="1:17" x14ac:dyDescent="0.2">
      <c r="A216">
        <v>215</v>
      </c>
      <c r="B216" t="s">
        <v>249</v>
      </c>
      <c r="C216" t="s">
        <v>46</v>
      </c>
      <c r="D216" t="s">
        <v>38</v>
      </c>
      <c r="E216" t="s">
        <v>22</v>
      </c>
      <c r="F216" t="s">
        <v>15</v>
      </c>
      <c r="G216" s="1">
        <v>45766</v>
      </c>
      <c r="H216" s="1">
        <v>45783</v>
      </c>
      <c r="I216" s="1">
        <v>45787</v>
      </c>
      <c r="J216" s="1">
        <v>45797</v>
      </c>
      <c r="K216" s="1" t="str">
        <f t="shared" si="7"/>
        <v>May-2025</v>
      </c>
      <c r="L216">
        <v>1481</v>
      </c>
      <c r="Q216">
        <f t="shared" si="6"/>
        <v>31</v>
      </c>
    </row>
    <row r="217" spans="1:17" x14ac:dyDescent="0.2">
      <c r="A217">
        <v>216</v>
      </c>
      <c r="B217" t="s">
        <v>250</v>
      </c>
      <c r="C217" t="s">
        <v>35</v>
      </c>
      <c r="D217" t="s">
        <v>13</v>
      </c>
      <c r="E217" t="s">
        <v>49</v>
      </c>
      <c r="F217" t="s">
        <v>23</v>
      </c>
      <c r="G217" s="1">
        <v>45767</v>
      </c>
      <c r="K217" s="1" t="str">
        <f t="shared" si="7"/>
        <v/>
      </c>
      <c r="L217">
        <v>1494</v>
      </c>
      <c r="Q217" t="str">
        <f t="shared" si="6"/>
        <v/>
      </c>
    </row>
    <row r="218" spans="1:17" x14ac:dyDescent="0.2">
      <c r="A218">
        <v>217</v>
      </c>
      <c r="B218" t="s">
        <v>251</v>
      </c>
      <c r="C218" t="s">
        <v>46</v>
      </c>
      <c r="D218" t="s">
        <v>13</v>
      </c>
      <c r="E218" t="s">
        <v>49</v>
      </c>
      <c r="F218" t="s">
        <v>43</v>
      </c>
      <c r="G218" s="1">
        <v>45842</v>
      </c>
      <c r="K218" s="1" t="str">
        <f t="shared" si="7"/>
        <v/>
      </c>
      <c r="L218">
        <v>784</v>
      </c>
      <c r="Q218" t="str">
        <f t="shared" si="6"/>
        <v/>
      </c>
    </row>
    <row r="219" spans="1:17" x14ac:dyDescent="0.2">
      <c r="A219">
        <v>218</v>
      </c>
      <c r="B219" t="s">
        <v>252</v>
      </c>
      <c r="C219" t="s">
        <v>20</v>
      </c>
      <c r="D219" t="s">
        <v>13</v>
      </c>
      <c r="E219" t="s">
        <v>36</v>
      </c>
      <c r="F219" t="s">
        <v>51</v>
      </c>
      <c r="G219" s="1">
        <v>45814</v>
      </c>
      <c r="H219" s="1">
        <v>45821</v>
      </c>
      <c r="K219" s="1" t="str">
        <f t="shared" si="7"/>
        <v/>
      </c>
      <c r="L219">
        <v>1002</v>
      </c>
      <c r="Q219" t="str">
        <f t="shared" si="6"/>
        <v/>
      </c>
    </row>
    <row r="220" spans="1:17" x14ac:dyDescent="0.2">
      <c r="A220">
        <v>219</v>
      </c>
      <c r="B220" t="s">
        <v>253</v>
      </c>
      <c r="C220" t="s">
        <v>17</v>
      </c>
      <c r="D220" t="s">
        <v>21</v>
      </c>
      <c r="E220" t="s">
        <v>14</v>
      </c>
      <c r="F220" t="s">
        <v>51</v>
      </c>
      <c r="G220" s="1">
        <v>45921</v>
      </c>
      <c r="H220" s="1">
        <v>45935</v>
      </c>
      <c r="K220" s="1" t="str">
        <f t="shared" si="7"/>
        <v/>
      </c>
      <c r="L220">
        <v>1683</v>
      </c>
      <c r="Q220" t="str">
        <f t="shared" si="6"/>
        <v/>
      </c>
    </row>
    <row r="221" spans="1:17" x14ac:dyDescent="0.2">
      <c r="A221">
        <v>220</v>
      </c>
      <c r="B221" t="s">
        <v>254</v>
      </c>
      <c r="C221" t="s">
        <v>12</v>
      </c>
      <c r="D221" t="s">
        <v>30</v>
      </c>
      <c r="E221" t="s">
        <v>33</v>
      </c>
      <c r="F221" t="s">
        <v>43</v>
      </c>
      <c r="G221" s="1">
        <v>45820</v>
      </c>
      <c r="K221" s="1" t="str">
        <f t="shared" si="7"/>
        <v/>
      </c>
      <c r="L221">
        <v>367</v>
      </c>
      <c r="Q221" t="str">
        <f t="shared" si="6"/>
        <v/>
      </c>
    </row>
    <row r="222" spans="1:17" x14ac:dyDescent="0.2">
      <c r="A222">
        <v>221</v>
      </c>
      <c r="B222" t="s">
        <v>255</v>
      </c>
      <c r="C222" t="s">
        <v>17</v>
      </c>
      <c r="D222" t="s">
        <v>21</v>
      </c>
      <c r="E222" t="s">
        <v>22</v>
      </c>
      <c r="F222" t="s">
        <v>18</v>
      </c>
      <c r="G222" s="1">
        <v>45681</v>
      </c>
      <c r="H222" s="1">
        <v>45690</v>
      </c>
      <c r="K222" s="1" t="str">
        <f t="shared" si="7"/>
        <v/>
      </c>
      <c r="L222">
        <v>1096</v>
      </c>
      <c r="Q222" t="str">
        <f t="shared" si="6"/>
        <v/>
      </c>
    </row>
    <row r="223" spans="1:17" x14ac:dyDescent="0.2">
      <c r="A223">
        <v>222</v>
      </c>
      <c r="B223" t="s">
        <v>256</v>
      </c>
      <c r="C223" t="s">
        <v>25</v>
      </c>
      <c r="D223" t="s">
        <v>13</v>
      </c>
      <c r="E223" t="s">
        <v>33</v>
      </c>
      <c r="F223" t="s">
        <v>43</v>
      </c>
      <c r="G223" s="1">
        <v>45683</v>
      </c>
      <c r="K223" s="1" t="str">
        <f t="shared" si="7"/>
        <v/>
      </c>
      <c r="L223">
        <v>222</v>
      </c>
      <c r="Q223" t="str">
        <f t="shared" si="6"/>
        <v/>
      </c>
    </row>
    <row r="224" spans="1:17" x14ac:dyDescent="0.2">
      <c r="A224">
        <v>223</v>
      </c>
      <c r="B224" t="s">
        <v>257</v>
      </c>
      <c r="C224" t="s">
        <v>20</v>
      </c>
      <c r="D224" t="s">
        <v>30</v>
      </c>
      <c r="E224" t="s">
        <v>22</v>
      </c>
      <c r="F224" t="s">
        <v>15</v>
      </c>
      <c r="G224" s="1">
        <v>45686</v>
      </c>
      <c r="H224" s="1">
        <v>45695</v>
      </c>
      <c r="I224" s="1">
        <v>45711</v>
      </c>
      <c r="J224" s="1">
        <v>45717</v>
      </c>
      <c r="K224" s="1" t="str">
        <f t="shared" si="7"/>
        <v>Mar-2025</v>
      </c>
      <c r="L224">
        <v>425</v>
      </c>
      <c r="Q224">
        <f t="shared" si="6"/>
        <v>31</v>
      </c>
    </row>
    <row r="225" spans="1:17" x14ac:dyDescent="0.2">
      <c r="A225">
        <v>224</v>
      </c>
      <c r="B225" t="s">
        <v>258</v>
      </c>
      <c r="C225" t="s">
        <v>17</v>
      </c>
      <c r="D225" t="s">
        <v>48</v>
      </c>
      <c r="E225" t="s">
        <v>33</v>
      </c>
      <c r="F225" t="s">
        <v>23</v>
      </c>
      <c r="G225" s="1">
        <v>45836</v>
      </c>
      <c r="K225" s="1" t="str">
        <f t="shared" si="7"/>
        <v/>
      </c>
      <c r="L225">
        <v>716</v>
      </c>
      <c r="Q225" t="str">
        <f t="shared" si="6"/>
        <v/>
      </c>
    </row>
    <row r="226" spans="1:17" x14ac:dyDescent="0.2">
      <c r="A226">
        <v>225</v>
      </c>
      <c r="B226" t="s">
        <v>259</v>
      </c>
      <c r="C226" t="s">
        <v>17</v>
      </c>
      <c r="D226" t="s">
        <v>38</v>
      </c>
      <c r="E226" t="s">
        <v>49</v>
      </c>
      <c r="F226" t="s">
        <v>18</v>
      </c>
      <c r="G226" s="1">
        <v>45712</v>
      </c>
      <c r="H226" s="1">
        <v>45719</v>
      </c>
      <c r="K226" s="1" t="str">
        <f t="shared" si="7"/>
        <v/>
      </c>
      <c r="L226">
        <v>1807</v>
      </c>
      <c r="Q226" t="str">
        <f t="shared" si="6"/>
        <v/>
      </c>
    </row>
    <row r="227" spans="1:17" x14ac:dyDescent="0.2">
      <c r="A227">
        <v>226</v>
      </c>
      <c r="B227" t="s">
        <v>260</v>
      </c>
      <c r="C227" t="s">
        <v>35</v>
      </c>
      <c r="D227" t="s">
        <v>13</v>
      </c>
      <c r="E227" t="s">
        <v>33</v>
      </c>
      <c r="F227" t="s">
        <v>15</v>
      </c>
      <c r="G227" s="1">
        <v>45700</v>
      </c>
      <c r="H227" s="1">
        <v>45705</v>
      </c>
      <c r="I227" s="1">
        <v>45721</v>
      </c>
      <c r="J227" s="1">
        <v>45729</v>
      </c>
      <c r="K227" s="1" t="str">
        <f t="shared" si="7"/>
        <v>Mar-2025</v>
      </c>
      <c r="L227">
        <v>821</v>
      </c>
      <c r="Q227">
        <f t="shared" si="6"/>
        <v>29</v>
      </c>
    </row>
    <row r="228" spans="1:17" x14ac:dyDescent="0.2">
      <c r="A228">
        <v>227</v>
      </c>
      <c r="B228" t="s">
        <v>261</v>
      </c>
      <c r="C228" t="s">
        <v>12</v>
      </c>
      <c r="D228" t="s">
        <v>13</v>
      </c>
      <c r="E228" t="s">
        <v>22</v>
      </c>
      <c r="F228" t="s">
        <v>43</v>
      </c>
      <c r="G228" s="1">
        <v>45921</v>
      </c>
      <c r="K228" s="1" t="str">
        <f t="shared" si="7"/>
        <v/>
      </c>
      <c r="L228">
        <v>1775</v>
      </c>
      <c r="Q228" t="str">
        <f t="shared" si="6"/>
        <v/>
      </c>
    </row>
    <row r="229" spans="1:17" x14ac:dyDescent="0.2">
      <c r="A229">
        <v>228</v>
      </c>
      <c r="B229" t="s">
        <v>262</v>
      </c>
      <c r="C229" t="s">
        <v>17</v>
      </c>
      <c r="D229" t="s">
        <v>26</v>
      </c>
      <c r="E229" t="s">
        <v>22</v>
      </c>
      <c r="F229" t="s">
        <v>31</v>
      </c>
      <c r="G229" s="1">
        <v>45760</v>
      </c>
      <c r="H229" s="1">
        <v>45782</v>
      </c>
      <c r="K229" s="1" t="str">
        <f t="shared" si="7"/>
        <v/>
      </c>
      <c r="L229">
        <v>1420</v>
      </c>
      <c r="Q229" t="str">
        <f t="shared" si="6"/>
        <v/>
      </c>
    </row>
    <row r="230" spans="1:17" x14ac:dyDescent="0.2">
      <c r="A230">
        <v>229</v>
      </c>
      <c r="B230" t="s">
        <v>263</v>
      </c>
      <c r="C230" t="s">
        <v>25</v>
      </c>
      <c r="D230" t="s">
        <v>38</v>
      </c>
      <c r="E230" t="s">
        <v>33</v>
      </c>
      <c r="F230" t="s">
        <v>27</v>
      </c>
      <c r="G230" s="1">
        <v>45658</v>
      </c>
      <c r="H230" s="1">
        <v>45666</v>
      </c>
      <c r="I230" s="1">
        <v>45684</v>
      </c>
      <c r="K230" s="1" t="str">
        <f t="shared" si="7"/>
        <v/>
      </c>
      <c r="L230">
        <v>962</v>
      </c>
      <c r="Q230" t="str">
        <f t="shared" si="6"/>
        <v/>
      </c>
    </row>
    <row r="231" spans="1:17" x14ac:dyDescent="0.2">
      <c r="A231">
        <v>230</v>
      </c>
      <c r="B231" t="s">
        <v>264</v>
      </c>
      <c r="C231" t="s">
        <v>25</v>
      </c>
      <c r="D231" t="s">
        <v>30</v>
      </c>
      <c r="E231" t="s">
        <v>49</v>
      </c>
      <c r="F231" t="s">
        <v>27</v>
      </c>
      <c r="G231" s="1">
        <v>45710</v>
      </c>
      <c r="H231" s="1">
        <v>45722</v>
      </c>
      <c r="I231" s="1">
        <v>45730</v>
      </c>
      <c r="K231" s="1" t="str">
        <f t="shared" si="7"/>
        <v/>
      </c>
      <c r="L231">
        <v>1719</v>
      </c>
      <c r="Q231" t="str">
        <f t="shared" si="6"/>
        <v/>
      </c>
    </row>
    <row r="232" spans="1:17" x14ac:dyDescent="0.2">
      <c r="A232">
        <v>231</v>
      </c>
      <c r="B232" t="s">
        <v>265</v>
      </c>
      <c r="C232" t="s">
        <v>46</v>
      </c>
      <c r="D232" t="s">
        <v>26</v>
      </c>
      <c r="E232" t="s">
        <v>49</v>
      </c>
      <c r="F232" t="s">
        <v>51</v>
      </c>
      <c r="G232" s="1">
        <v>45813</v>
      </c>
      <c r="H232" s="1">
        <v>45838</v>
      </c>
      <c r="K232" s="1" t="str">
        <f t="shared" si="7"/>
        <v/>
      </c>
      <c r="L232">
        <v>668</v>
      </c>
      <c r="Q232" t="str">
        <f t="shared" si="6"/>
        <v/>
      </c>
    </row>
    <row r="233" spans="1:17" x14ac:dyDescent="0.2">
      <c r="A233">
        <v>232</v>
      </c>
      <c r="B233" t="s">
        <v>266</v>
      </c>
      <c r="C233" t="s">
        <v>35</v>
      </c>
      <c r="D233" t="s">
        <v>38</v>
      </c>
      <c r="E233" t="s">
        <v>22</v>
      </c>
      <c r="F233" t="s">
        <v>43</v>
      </c>
      <c r="G233" s="1">
        <v>45666</v>
      </c>
      <c r="K233" s="1" t="str">
        <f t="shared" si="7"/>
        <v/>
      </c>
      <c r="L233">
        <v>1999</v>
      </c>
      <c r="Q233" t="str">
        <f t="shared" si="6"/>
        <v/>
      </c>
    </row>
    <row r="234" spans="1:17" x14ac:dyDescent="0.2">
      <c r="A234">
        <v>233</v>
      </c>
      <c r="B234" t="s">
        <v>267</v>
      </c>
      <c r="C234" t="s">
        <v>35</v>
      </c>
      <c r="D234" t="s">
        <v>13</v>
      </c>
      <c r="E234" t="s">
        <v>22</v>
      </c>
      <c r="F234" t="s">
        <v>18</v>
      </c>
      <c r="G234" s="1">
        <v>45738</v>
      </c>
      <c r="H234" s="1">
        <v>45757</v>
      </c>
      <c r="K234" s="1" t="str">
        <f t="shared" si="7"/>
        <v/>
      </c>
      <c r="L234">
        <v>1824</v>
      </c>
      <c r="Q234" t="str">
        <f t="shared" si="6"/>
        <v/>
      </c>
    </row>
    <row r="235" spans="1:17" x14ac:dyDescent="0.2">
      <c r="A235">
        <v>234</v>
      </c>
      <c r="B235" t="s">
        <v>268</v>
      </c>
      <c r="C235" t="s">
        <v>12</v>
      </c>
      <c r="D235" t="s">
        <v>30</v>
      </c>
      <c r="E235" t="s">
        <v>33</v>
      </c>
      <c r="F235" t="s">
        <v>15</v>
      </c>
      <c r="G235" s="1">
        <v>45749</v>
      </c>
      <c r="H235" s="1">
        <v>45767</v>
      </c>
      <c r="I235" s="1">
        <v>45779</v>
      </c>
      <c r="J235" s="1">
        <v>45787</v>
      </c>
      <c r="K235" s="1" t="str">
        <f t="shared" si="7"/>
        <v>May-2025</v>
      </c>
      <c r="L235">
        <v>1231</v>
      </c>
      <c r="Q235">
        <f t="shared" si="6"/>
        <v>38</v>
      </c>
    </row>
    <row r="236" spans="1:17" x14ac:dyDescent="0.2">
      <c r="A236">
        <v>235</v>
      </c>
      <c r="B236" t="s">
        <v>269</v>
      </c>
      <c r="C236" t="s">
        <v>46</v>
      </c>
      <c r="D236" t="s">
        <v>21</v>
      </c>
      <c r="E236" t="s">
        <v>14</v>
      </c>
      <c r="F236" t="s">
        <v>43</v>
      </c>
      <c r="G236" s="1">
        <v>45838</v>
      </c>
      <c r="K236" s="1" t="str">
        <f t="shared" si="7"/>
        <v/>
      </c>
      <c r="L236">
        <v>281</v>
      </c>
      <c r="Q236" t="str">
        <f t="shared" si="6"/>
        <v/>
      </c>
    </row>
    <row r="237" spans="1:17" x14ac:dyDescent="0.2">
      <c r="A237">
        <v>236</v>
      </c>
      <c r="B237" t="s">
        <v>270</v>
      </c>
      <c r="C237" t="s">
        <v>20</v>
      </c>
      <c r="D237" t="s">
        <v>30</v>
      </c>
      <c r="E237" t="s">
        <v>33</v>
      </c>
      <c r="F237" t="s">
        <v>27</v>
      </c>
      <c r="G237" s="1">
        <v>45886</v>
      </c>
      <c r="H237" s="1">
        <v>45911</v>
      </c>
      <c r="I237" s="1">
        <v>45923</v>
      </c>
      <c r="K237" s="1" t="str">
        <f t="shared" si="7"/>
        <v/>
      </c>
      <c r="L237">
        <v>1555</v>
      </c>
      <c r="Q237" t="str">
        <f t="shared" si="6"/>
        <v/>
      </c>
    </row>
    <row r="238" spans="1:17" x14ac:dyDescent="0.2">
      <c r="A238">
        <v>237</v>
      </c>
      <c r="B238" t="s">
        <v>271</v>
      </c>
      <c r="C238" t="s">
        <v>17</v>
      </c>
      <c r="D238" t="s">
        <v>30</v>
      </c>
      <c r="E238" t="s">
        <v>22</v>
      </c>
      <c r="F238" t="s">
        <v>18</v>
      </c>
      <c r="G238" s="1">
        <v>45861</v>
      </c>
      <c r="H238" s="1">
        <v>45867</v>
      </c>
      <c r="K238" s="1" t="str">
        <f t="shared" si="7"/>
        <v/>
      </c>
      <c r="L238">
        <v>1175</v>
      </c>
      <c r="Q238" t="str">
        <f t="shared" si="6"/>
        <v/>
      </c>
    </row>
    <row r="239" spans="1:17" x14ac:dyDescent="0.2">
      <c r="A239">
        <v>238</v>
      </c>
      <c r="B239" t="s">
        <v>272</v>
      </c>
      <c r="C239" t="s">
        <v>46</v>
      </c>
      <c r="D239" t="s">
        <v>38</v>
      </c>
      <c r="E239" t="s">
        <v>49</v>
      </c>
      <c r="F239" t="s">
        <v>31</v>
      </c>
      <c r="G239" s="1">
        <v>45729</v>
      </c>
      <c r="H239" s="1">
        <v>45736</v>
      </c>
      <c r="K239" s="1" t="str">
        <f t="shared" si="7"/>
        <v/>
      </c>
      <c r="L239">
        <v>1856</v>
      </c>
      <c r="Q239" t="str">
        <f t="shared" si="6"/>
        <v/>
      </c>
    </row>
    <row r="240" spans="1:17" x14ac:dyDescent="0.2">
      <c r="A240">
        <v>239</v>
      </c>
      <c r="B240" t="s">
        <v>273</v>
      </c>
      <c r="C240" t="s">
        <v>17</v>
      </c>
      <c r="D240" t="s">
        <v>21</v>
      </c>
      <c r="E240" t="s">
        <v>22</v>
      </c>
      <c r="F240" t="s">
        <v>51</v>
      </c>
      <c r="G240" s="1">
        <v>45894</v>
      </c>
      <c r="H240" s="1">
        <v>45905</v>
      </c>
      <c r="K240" s="1" t="str">
        <f t="shared" si="7"/>
        <v/>
      </c>
      <c r="L240">
        <v>921</v>
      </c>
      <c r="Q240" t="str">
        <f t="shared" si="6"/>
        <v/>
      </c>
    </row>
    <row r="241" spans="1:17" x14ac:dyDescent="0.2">
      <c r="A241">
        <v>240</v>
      </c>
      <c r="B241" t="s">
        <v>274</v>
      </c>
      <c r="C241" t="s">
        <v>46</v>
      </c>
      <c r="D241" t="s">
        <v>30</v>
      </c>
      <c r="E241" t="s">
        <v>33</v>
      </c>
      <c r="F241" t="s">
        <v>27</v>
      </c>
      <c r="G241" s="1">
        <v>45678</v>
      </c>
      <c r="H241" s="1">
        <v>45694</v>
      </c>
      <c r="I241" s="1">
        <v>45710</v>
      </c>
      <c r="K241" s="1" t="str">
        <f t="shared" si="7"/>
        <v/>
      </c>
      <c r="L241">
        <v>374</v>
      </c>
      <c r="Q241" t="str">
        <f t="shared" si="6"/>
        <v/>
      </c>
    </row>
    <row r="242" spans="1:17" x14ac:dyDescent="0.2">
      <c r="A242">
        <v>241</v>
      </c>
      <c r="B242" t="s">
        <v>275</v>
      </c>
      <c r="C242" t="s">
        <v>12</v>
      </c>
      <c r="D242" t="s">
        <v>13</v>
      </c>
      <c r="E242" t="s">
        <v>49</v>
      </c>
      <c r="F242" t="s">
        <v>43</v>
      </c>
      <c r="G242" s="1">
        <v>45743</v>
      </c>
      <c r="K242" s="1" t="str">
        <f t="shared" si="7"/>
        <v/>
      </c>
      <c r="L242">
        <v>971</v>
      </c>
      <c r="Q242" t="str">
        <f t="shared" si="6"/>
        <v/>
      </c>
    </row>
    <row r="243" spans="1:17" x14ac:dyDescent="0.2">
      <c r="A243">
        <v>242</v>
      </c>
      <c r="B243" t="s">
        <v>276</v>
      </c>
      <c r="C243" t="s">
        <v>46</v>
      </c>
      <c r="D243" t="s">
        <v>26</v>
      </c>
      <c r="E243" t="s">
        <v>22</v>
      </c>
      <c r="F243" t="s">
        <v>43</v>
      </c>
      <c r="G243" s="1">
        <v>45821</v>
      </c>
      <c r="K243" s="1" t="str">
        <f t="shared" si="7"/>
        <v/>
      </c>
      <c r="L243">
        <v>1025</v>
      </c>
      <c r="Q243" t="str">
        <f t="shared" si="6"/>
        <v/>
      </c>
    </row>
    <row r="244" spans="1:17" x14ac:dyDescent="0.2">
      <c r="A244">
        <v>243</v>
      </c>
      <c r="B244" t="s">
        <v>277</v>
      </c>
      <c r="C244" t="s">
        <v>35</v>
      </c>
      <c r="D244" t="s">
        <v>48</v>
      </c>
      <c r="E244" t="s">
        <v>49</v>
      </c>
      <c r="F244" t="s">
        <v>51</v>
      </c>
      <c r="G244" s="1">
        <v>45939</v>
      </c>
      <c r="H244" s="1">
        <v>45954</v>
      </c>
      <c r="K244" s="1" t="str">
        <f t="shared" si="7"/>
        <v/>
      </c>
      <c r="L244">
        <v>257</v>
      </c>
      <c r="Q244" t="str">
        <f t="shared" si="6"/>
        <v/>
      </c>
    </row>
    <row r="245" spans="1:17" x14ac:dyDescent="0.2">
      <c r="A245">
        <v>244</v>
      </c>
      <c r="B245" t="s">
        <v>278</v>
      </c>
      <c r="C245" t="s">
        <v>20</v>
      </c>
      <c r="D245" t="s">
        <v>38</v>
      </c>
      <c r="E245" t="s">
        <v>36</v>
      </c>
      <c r="F245" t="s">
        <v>43</v>
      </c>
      <c r="G245" s="1">
        <v>45865</v>
      </c>
      <c r="K245" s="1" t="str">
        <f t="shared" si="7"/>
        <v/>
      </c>
      <c r="L245">
        <v>1560</v>
      </c>
      <c r="Q245" t="str">
        <f t="shared" si="6"/>
        <v/>
      </c>
    </row>
    <row r="246" spans="1:17" x14ac:dyDescent="0.2">
      <c r="A246">
        <v>245</v>
      </c>
      <c r="B246" t="s">
        <v>279</v>
      </c>
      <c r="C246" t="s">
        <v>46</v>
      </c>
      <c r="D246" t="s">
        <v>26</v>
      </c>
      <c r="E246" t="s">
        <v>49</v>
      </c>
      <c r="F246" t="s">
        <v>23</v>
      </c>
      <c r="G246" s="1">
        <v>45757</v>
      </c>
      <c r="K246" s="1" t="str">
        <f t="shared" si="7"/>
        <v/>
      </c>
      <c r="L246">
        <v>1077</v>
      </c>
      <c r="Q246" t="str">
        <f t="shared" si="6"/>
        <v/>
      </c>
    </row>
    <row r="247" spans="1:17" x14ac:dyDescent="0.2">
      <c r="A247">
        <v>246</v>
      </c>
      <c r="B247" t="s">
        <v>280</v>
      </c>
      <c r="C247" t="s">
        <v>12</v>
      </c>
      <c r="D247" t="s">
        <v>48</v>
      </c>
      <c r="E247" t="s">
        <v>14</v>
      </c>
      <c r="F247" t="s">
        <v>51</v>
      </c>
      <c r="G247" s="1">
        <v>45882</v>
      </c>
      <c r="H247" s="1">
        <v>45892</v>
      </c>
      <c r="K247" s="1" t="str">
        <f t="shared" si="7"/>
        <v/>
      </c>
      <c r="L247">
        <v>1596</v>
      </c>
      <c r="Q247" t="str">
        <f t="shared" si="6"/>
        <v/>
      </c>
    </row>
    <row r="248" spans="1:17" x14ac:dyDescent="0.2">
      <c r="A248">
        <v>247</v>
      </c>
      <c r="B248" t="s">
        <v>281</v>
      </c>
      <c r="C248" t="s">
        <v>46</v>
      </c>
      <c r="D248" t="s">
        <v>26</v>
      </c>
      <c r="E248" t="s">
        <v>22</v>
      </c>
      <c r="F248" t="s">
        <v>23</v>
      </c>
      <c r="G248" s="1">
        <v>45913</v>
      </c>
      <c r="K248" s="1" t="str">
        <f t="shared" si="7"/>
        <v/>
      </c>
      <c r="L248">
        <v>599</v>
      </c>
      <c r="Q248" t="str">
        <f t="shared" si="6"/>
        <v/>
      </c>
    </row>
    <row r="249" spans="1:17" x14ac:dyDescent="0.2">
      <c r="A249">
        <v>248</v>
      </c>
      <c r="B249" t="s">
        <v>282</v>
      </c>
      <c r="C249" t="s">
        <v>12</v>
      </c>
      <c r="D249" t="s">
        <v>21</v>
      </c>
      <c r="E249" t="s">
        <v>14</v>
      </c>
      <c r="F249" t="s">
        <v>23</v>
      </c>
      <c r="G249" s="1">
        <v>45828</v>
      </c>
      <c r="K249" s="1" t="str">
        <f t="shared" si="7"/>
        <v/>
      </c>
      <c r="L249">
        <v>1435</v>
      </c>
      <c r="Q249" t="str">
        <f t="shared" si="6"/>
        <v/>
      </c>
    </row>
    <row r="250" spans="1:17" x14ac:dyDescent="0.2">
      <c r="A250">
        <v>249</v>
      </c>
      <c r="B250" t="s">
        <v>283</v>
      </c>
      <c r="C250" t="s">
        <v>17</v>
      </c>
      <c r="D250" t="s">
        <v>38</v>
      </c>
      <c r="E250" t="s">
        <v>49</v>
      </c>
      <c r="F250" t="s">
        <v>51</v>
      </c>
      <c r="G250" s="1">
        <v>45865</v>
      </c>
      <c r="H250" s="1">
        <v>45870</v>
      </c>
      <c r="K250" s="1" t="str">
        <f t="shared" si="7"/>
        <v/>
      </c>
      <c r="L250">
        <v>346</v>
      </c>
      <c r="Q250" t="str">
        <f t="shared" si="6"/>
        <v/>
      </c>
    </row>
    <row r="251" spans="1:17" x14ac:dyDescent="0.2">
      <c r="A251">
        <v>250</v>
      </c>
      <c r="B251" t="s">
        <v>284</v>
      </c>
      <c r="C251" t="s">
        <v>46</v>
      </c>
      <c r="D251" t="s">
        <v>48</v>
      </c>
      <c r="E251" t="s">
        <v>14</v>
      </c>
      <c r="F251" t="s">
        <v>23</v>
      </c>
      <c r="G251" s="1">
        <v>45674</v>
      </c>
      <c r="K251" s="1" t="str">
        <f t="shared" si="7"/>
        <v/>
      </c>
      <c r="L251">
        <v>1772</v>
      </c>
      <c r="Q251" t="str">
        <f t="shared" si="6"/>
        <v/>
      </c>
    </row>
    <row r="252" spans="1:17" x14ac:dyDescent="0.2">
      <c r="A252">
        <v>251</v>
      </c>
      <c r="B252" t="s">
        <v>285</v>
      </c>
      <c r="C252" t="s">
        <v>12</v>
      </c>
      <c r="D252" t="s">
        <v>13</v>
      </c>
      <c r="E252" t="s">
        <v>49</v>
      </c>
      <c r="F252" t="s">
        <v>31</v>
      </c>
      <c r="G252" s="1">
        <v>45861</v>
      </c>
      <c r="H252" s="1">
        <v>45874</v>
      </c>
      <c r="K252" s="1" t="str">
        <f t="shared" si="7"/>
        <v/>
      </c>
      <c r="L252">
        <v>579</v>
      </c>
      <c r="Q252" t="str">
        <f t="shared" si="6"/>
        <v/>
      </c>
    </row>
    <row r="253" spans="1:17" x14ac:dyDescent="0.2">
      <c r="A253">
        <v>252</v>
      </c>
      <c r="B253" t="s">
        <v>286</v>
      </c>
      <c r="C253" t="s">
        <v>25</v>
      </c>
      <c r="D253" t="s">
        <v>26</v>
      </c>
      <c r="E253" t="s">
        <v>36</v>
      </c>
      <c r="F253" t="s">
        <v>23</v>
      </c>
      <c r="G253" s="1">
        <v>45718</v>
      </c>
      <c r="K253" s="1" t="str">
        <f t="shared" si="7"/>
        <v/>
      </c>
      <c r="L253">
        <v>844</v>
      </c>
      <c r="Q253" t="str">
        <f t="shared" si="6"/>
        <v/>
      </c>
    </row>
    <row r="254" spans="1:17" x14ac:dyDescent="0.2">
      <c r="A254">
        <v>253</v>
      </c>
      <c r="B254" t="s">
        <v>287</v>
      </c>
      <c r="C254" t="s">
        <v>35</v>
      </c>
      <c r="D254" t="s">
        <v>21</v>
      </c>
      <c r="E254" t="s">
        <v>14</v>
      </c>
      <c r="F254" t="s">
        <v>31</v>
      </c>
      <c r="G254" s="1">
        <v>45701</v>
      </c>
      <c r="H254" s="1">
        <v>45717</v>
      </c>
      <c r="K254" s="1" t="str">
        <f t="shared" si="7"/>
        <v/>
      </c>
      <c r="L254">
        <v>1753</v>
      </c>
      <c r="Q254" t="str">
        <f t="shared" si="6"/>
        <v/>
      </c>
    </row>
    <row r="255" spans="1:17" x14ac:dyDescent="0.2">
      <c r="A255">
        <v>254</v>
      </c>
      <c r="B255" t="s">
        <v>288</v>
      </c>
      <c r="C255" t="s">
        <v>46</v>
      </c>
      <c r="D255" t="s">
        <v>26</v>
      </c>
      <c r="E255" t="s">
        <v>22</v>
      </c>
      <c r="F255" t="s">
        <v>43</v>
      </c>
      <c r="G255" s="1">
        <v>45846</v>
      </c>
      <c r="K255" s="1" t="str">
        <f t="shared" si="7"/>
        <v/>
      </c>
      <c r="L255">
        <v>610</v>
      </c>
      <c r="Q255" t="str">
        <f t="shared" si="6"/>
        <v/>
      </c>
    </row>
    <row r="256" spans="1:17" x14ac:dyDescent="0.2">
      <c r="A256">
        <v>255</v>
      </c>
      <c r="B256" t="s">
        <v>289</v>
      </c>
      <c r="C256" t="s">
        <v>20</v>
      </c>
      <c r="D256" t="s">
        <v>26</v>
      </c>
      <c r="E256" t="s">
        <v>22</v>
      </c>
      <c r="F256" t="s">
        <v>15</v>
      </c>
      <c r="G256" s="1">
        <v>45860</v>
      </c>
      <c r="H256" s="1">
        <v>45865</v>
      </c>
      <c r="I256" s="1">
        <v>45900</v>
      </c>
      <c r="J256" s="1">
        <v>45910</v>
      </c>
      <c r="K256" s="1" t="str">
        <f t="shared" si="7"/>
        <v>Sep-2025</v>
      </c>
      <c r="L256">
        <v>1317</v>
      </c>
      <c r="Q256">
        <f t="shared" si="6"/>
        <v>50</v>
      </c>
    </row>
    <row r="257" spans="1:17" x14ac:dyDescent="0.2">
      <c r="A257">
        <v>256</v>
      </c>
      <c r="B257" t="s">
        <v>290</v>
      </c>
      <c r="C257" t="s">
        <v>35</v>
      </c>
      <c r="D257" t="s">
        <v>21</v>
      </c>
      <c r="E257" t="s">
        <v>36</v>
      </c>
      <c r="F257" t="s">
        <v>15</v>
      </c>
      <c r="G257" s="1">
        <v>45790</v>
      </c>
      <c r="H257" s="1">
        <v>45814</v>
      </c>
      <c r="I257" s="1">
        <v>45825</v>
      </c>
      <c r="J257" s="1">
        <v>45833</v>
      </c>
      <c r="K257" s="1" t="str">
        <f t="shared" si="7"/>
        <v>Jun-2025</v>
      </c>
      <c r="L257">
        <v>1529</v>
      </c>
      <c r="Q257">
        <f t="shared" si="6"/>
        <v>43</v>
      </c>
    </row>
    <row r="258" spans="1:17" x14ac:dyDescent="0.2">
      <c r="A258">
        <v>257</v>
      </c>
      <c r="B258" t="s">
        <v>291</v>
      </c>
      <c r="C258" t="s">
        <v>17</v>
      </c>
      <c r="D258" t="s">
        <v>13</v>
      </c>
      <c r="E258" t="s">
        <v>33</v>
      </c>
      <c r="F258" t="s">
        <v>27</v>
      </c>
      <c r="G258" s="1">
        <v>45740</v>
      </c>
      <c r="H258" s="1">
        <v>45754</v>
      </c>
      <c r="I258" s="1">
        <v>45775</v>
      </c>
      <c r="K258" s="1" t="str">
        <f t="shared" si="7"/>
        <v/>
      </c>
      <c r="L258">
        <v>1352</v>
      </c>
      <c r="Q258" t="str">
        <f t="shared" ref="Q258:Q321" si="8">IF(J258="","",J258-G258)</f>
        <v/>
      </c>
    </row>
    <row r="259" spans="1:17" x14ac:dyDescent="0.2">
      <c r="A259">
        <v>258</v>
      </c>
      <c r="B259" t="s">
        <v>292</v>
      </c>
      <c r="C259" t="s">
        <v>25</v>
      </c>
      <c r="D259" t="s">
        <v>21</v>
      </c>
      <c r="E259" t="s">
        <v>36</v>
      </c>
      <c r="F259" t="s">
        <v>31</v>
      </c>
      <c r="G259" s="1">
        <v>45782</v>
      </c>
      <c r="H259" s="1">
        <v>45788</v>
      </c>
      <c r="K259" s="1" t="str">
        <f t="shared" ref="K259:K322" si="9">IF(J259="","",TEXT(J259,"mmm-yyyy"))</f>
        <v/>
      </c>
      <c r="L259">
        <v>843</v>
      </c>
      <c r="Q259" t="str">
        <f t="shared" si="8"/>
        <v/>
      </c>
    </row>
    <row r="260" spans="1:17" x14ac:dyDescent="0.2">
      <c r="A260">
        <v>259</v>
      </c>
      <c r="B260" t="s">
        <v>293</v>
      </c>
      <c r="C260" t="s">
        <v>20</v>
      </c>
      <c r="D260" t="s">
        <v>48</v>
      </c>
      <c r="E260" t="s">
        <v>33</v>
      </c>
      <c r="F260" t="s">
        <v>31</v>
      </c>
      <c r="G260" s="1">
        <v>45711</v>
      </c>
      <c r="H260" s="1">
        <v>45725</v>
      </c>
      <c r="K260" s="1" t="str">
        <f t="shared" si="9"/>
        <v/>
      </c>
      <c r="L260">
        <v>982</v>
      </c>
      <c r="Q260" t="str">
        <f t="shared" si="8"/>
        <v/>
      </c>
    </row>
    <row r="261" spans="1:17" x14ac:dyDescent="0.2">
      <c r="A261">
        <v>260</v>
      </c>
      <c r="B261" t="s">
        <v>294</v>
      </c>
      <c r="C261" t="s">
        <v>25</v>
      </c>
      <c r="D261" t="s">
        <v>26</v>
      </c>
      <c r="E261" t="s">
        <v>22</v>
      </c>
      <c r="F261" t="s">
        <v>23</v>
      </c>
      <c r="G261" s="1">
        <v>45672</v>
      </c>
      <c r="K261" s="1" t="str">
        <f t="shared" si="9"/>
        <v/>
      </c>
      <c r="L261">
        <v>567</v>
      </c>
      <c r="Q261" t="str">
        <f t="shared" si="8"/>
        <v/>
      </c>
    </row>
    <row r="262" spans="1:17" x14ac:dyDescent="0.2">
      <c r="A262">
        <v>261</v>
      </c>
      <c r="B262" t="s">
        <v>295</v>
      </c>
      <c r="C262" t="s">
        <v>17</v>
      </c>
      <c r="D262" t="s">
        <v>13</v>
      </c>
      <c r="E262" t="s">
        <v>33</v>
      </c>
      <c r="F262" t="s">
        <v>23</v>
      </c>
      <c r="G262" s="1">
        <v>45737</v>
      </c>
      <c r="K262" s="1" t="str">
        <f t="shared" si="9"/>
        <v/>
      </c>
      <c r="L262">
        <v>319</v>
      </c>
      <c r="Q262" t="str">
        <f t="shared" si="8"/>
        <v/>
      </c>
    </row>
    <row r="263" spans="1:17" x14ac:dyDescent="0.2">
      <c r="A263">
        <v>262</v>
      </c>
      <c r="B263" t="s">
        <v>296</v>
      </c>
      <c r="C263" t="s">
        <v>12</v>
      </c>
      <c r="D263" t="s">
        <v>38</v>
      </c>
      <c r="E263" t="s">
        <v>33</v>
      </c>
      <c r="F263" t="s">
        <v>27</v>
      </c>
      <c r="G263" s="1">
        <v>45755</v>
      </c>
      <c r="H263" s="1">
        <v>45769</v>
      </c>
      <c r="I263" s="1">
        <v>45791</v>
      </c>
      <c r="K263" s="1" t="str">
        <f t="shared" si="9"/>
        <v/>
      </c>
      <c r="L263">
        <v>1923</v>
      </c>
      <c r="Q263" t="str">
        <f t="shared" si="8"/>
        <v/>
      </c>
    </row>
    <row r="264" spans="1:17" x14ac:dyDescent="0.2">
      <c r="A264">
        <v>263</v>
      </c>
      <c r="B264" t="s">
        <v>297</v>
      </c>
      <c r="C264" t="s">
        <v>12</v>
      </c>
      <c r="D264" t="s">
        <v>38</v>
      </c>
      <c r="E264" t="s">
        <v>49</v>
      </c>
      <c r="F264" t="s">
        <v>15</v>
      </c>
      <c r="G264" s="1">
        <v>45863</v>
      </c>
      <c r="H264" s="1">
        <v>45887</v>
      </c>
      <c r="I264" s="1">
        <v>45883</v>
      </c>
      <c r="J264" s="1">
        <v>45891</v>
      </c>
      <c r="K264" s="1" t="str">
        <f t="shared" si="9"/>
        <v>Aug-2025</v>
      </c>
      <c r="L264">
        <v>1913</v>
      </c>
      <c r="Q264">
        <f t="shared" si="8"/>
        <v>28</v>
      </c>
    </row>
    <row r="265" spans="1:17" x14ac:dyDescent="0.2">
      <c r="A265">
        <v>264</v>
      </c>
      <c r="B265" t="s">
        <v>298</v>
      </c>
      <c r="C265" t="s">
        <v>12</v>
      </c>
      <c r="D265" t="s">
        <v>48</v>
      </c>
      <c r="E265" t="s">
        <v>49</v>
      </c>
      <c r="F265" t="s">
        <v>51</v>
      </c>
      <c r="G265" s="1">
        <v>45825</v>
      </c>
      <c r="H265" s="1">
        <v>45833</v>
      </c>
      <c r="K265" s="1" t="str">
        <f t="shared" si="9"/>
        <v/>
      </c>
      <c r="L265">
        <v>479</v>
      </c>
      <c r="Q265" t="str">
        <f t="shared" si="8"/>
        <v/>
      </c>
    </row>
    <row r="266" spans="1:17" x14ac:dyDescent="0.2">
      <c r="A266">
        <v>265</v>
      </c>
      <c r="B266" t="s">
        <v>299</v>
      </c>
      <c r="C266" t="s">
        <v>25</v>
      </c>
      <c r="D266" t="s">
        <v>26</v>
      </c>
      <c r="E266" t="s">
        <v>49</v>
      </c>
      <c r="F266" t="s">
        <v>23</v>
      </c>
      <c r="G266" s="1">
        <v>45795</v>
      </c>
      <c r="K266" s="1" t="str">
        <f t="shared" si="9"/>
        <v/>
      </c>
      <c r="L266">
        <v>541</v>
      </c>
      <c r="Q266" t="str">
        <f t="shared" si="8"/>
        <v/>
      </c>
    </row>
    <row r="267" spans="1:17" x14ac:dyDescent="0.2">
      <c r="A267">
        <v>266</v>
      </c>
      <c r="B267" t="s">
        <v>300</v>
      </c>
      <c r="C267" t="s">
        <v>12</v>
      </c>
      <c r="D267" t="s">
        <v>26</v>
      </c>
      <c r="E267" t="s">
        <v>22</v>
      </c>
      <c r="F267" t="s">
        <v>51</v>
      </c>
      <c r="G267" s="1">
        <v>45763</v>
      </c>
      <c r="H267" s="1">
        <v>45775</v>
      </c>
      <c r="K267" s="1" t="str">
        <f t="shared" si="9"/>
        <v/>
      </c>
      <c r="L267">
        <v>481</v>
      </c>
      <c r="Q267" t="str">
        <f t="shared" si="8"/>
        <v/>
      </c>
    </row>
    <row r="268" spans="1:17" x14ac:dyDescent="0.2">
      <c r="A268">
        <v>267</v>
      </c>
      <c r="B268" t="s">
        <v>301</v>
      </c>
      <c r="C268" t="s">
        <v>12</v>
      </c>
      <c r="D268" t="s">
        <v>30</v>
      </c>
      <c r="E268" t="s">
        <v>49</v>
      </c>
      <c r="F268" t="s">
        <v>43</v>
      </c>
      <c r="G268" s="1">
        <v>45732</v>
      </c>
      <c r="K268" s="1" t="str">
        <f t="shared" si="9"/>
        <v/>
      </c>
      <c r="L268">
        <v>798</v>
      </c>
      <c r="Q268" t="str">
        <f t="shared" si="8"/>
        <v/>
      </c>
    </row>
    <row r="269" spans="1:17" x14ac:dyDescent="0.2">
      <c r="A269">
        <v>268</v>
      </c>
      <c r="B269" t="s">
        <v>302</v>
      </c>
      <c r="C269" t="s">
        <v>12</v>
      </c>
      <c r="D269" t="s">
        <v>26</v>
      </c>
      <c r="E269" t="s">
        <v>36</v>
      </c>
      <c r="F269" t="s">
        <v>23</v>
      </c>
      <c r="G269" s="1">
        <v>45782</v>
      </c>
      <c r="K269" s="1" t="str">
        <f t="shared" si="9"/>
        <v/>
      </c>
      <c r="L269">
        <v>1395</v>
      </c>
      <c r="Q269" t="str">
        <f t="shared" si="8"/>
        <v/>
      </c>
    </row>
    <row r="270" spans="1:17" x14ac:dyDescent="0.2">
      <c r="A270">
        <v>269</v>
      </c>
      <c r="B270" t="s">
        <v>303</v>
      </c>
      <c r="C270" t="s">
        <v>46</v>
      </c>
      <c r="D270" t="s">
        <v>38</v>
      </c>
      <c r="E270" t="s">
        <v>14</v>
      </c>
      <c r="F270" t="s">
        <v>31</v>
      </c>
      <c r="G270" s="1">
        <v>45694</v>
      </c>
      <c r="H270" s="1">
        <v>45711</v>
      </c>
      <c r="K270" s="1" t="str">
        <f t="shared" si="9"/>
        <v/>
      </c>
      <c r="L270">
        <v>1429</v>
      </c>
      <c r="Q270" t="str">
        <f t="shared" si="8"/>
        <v/>
      </c>
    </row>
    <row r="271" spans="1:17" x14ac:dyDescent="0.2">
      <c r="A271">
        <v>270</v>
      </c>
      <c r="B271" t="s">
        <v>304</v>
      </c>
      <c r="C271" t="s">
        <v>46</v>
      </c>
      <c r="D271" t="s">
        <v>48</v>
      </c>
      <c r="E271" t="s">
        <v>14</v>
      </c>
      <c r="F271" t="s">
        <v>43</v>
      </c>
      <c r="G271" s="1">
        <v>45711</v>
      </c>
      <c r="K271" s="1" t="str">
        <f t="shared" si="9"/>
        <v/>
      </c>
      <c r="L271">
        <v>1831</v>
      </c>
      <c r="Q271" t="str">
        <f t="shared" si="8"/>
        <v/>
      </c>
    </row>
    <row r="272" spans="1:17" x14ac:dyDescent="0.2">
      <c r="A272">
        <v>271</v>
      </c>
      <c r="B272" t="s">
        <v>305</v>
      </c>
      <c r="C272" t="s">
        <v>35</v>
      </c>
      <c r="D272" t="s">
        <v>48</v>
      </c>
      <c r="E272" t="s">
        <v>14</v>
      </c>
      <c r="F272" t="s">
        <v>31</v>
      </c>
      <c r="G272" s="1">
        <v>45947</v>
      </c>
      <c r="H272" s="1">
        <v>45972</v>
      </c>
      <c r="K272" s="1" t="str">
        <f t="shared" si="9"/>
        <v/>
      </c>
      <c r="L272">
        <v>1120</v>
      </c>
      <c r="Q272" t="str">
        <f t="shared" si="8"/>
        <v/>
      </c>
    </row>
    <row r="273" spans="1:17" x14ac:dyDescent="0.2">
      <c r="A273">
        <v>272</v>
      </c>
      <c r="B273" t="s">
        <v>306</v>
      </c>
      <c r="C273" t="s">
        <v>20</v>
      </c>
      <c r="D273" t="s">
        <v>48</v>
      </c>
      <c r="E273" t="s">
        <v>22</v>
      </c>
      <c r="F273" t="s">
        <v>43</v>
      </c>
      <c r="G273" s="1">
        <v>45661</v>
      </c>
      <c r="K273" s="1" t="str">
        <f t="shared" si="9"/>
        <v/>
      </c>
      <c r="L273">
        <v>548</v>
      </c>
      <c r="Q273" t="str">
        <f t="shared" si="8"/>
        <v/>
      </c>
    </row>
    <row r="274" spans="1:17" x14ac:dyDescent="0.2">
      <c r="A274">
        <v>273</v>
      </c>
      <c r="B274" t="s">
        <v>307</v>
      </c>
      <c r="C274" t="s">
        <v>25</v>
      </c>
      <c r="D274" t="s">
        <v>26</v>
      </c>
      <c r="E274" t="s">
        <v>22</v>
      </c>
      <c r="F274" t="s">
        <v>23</v>
      </c>
      <c r="G274" s="1">
        <v>45733</v>
      </c>
      <c r="K274" s="1" t="str">
        <f t="shared" si="9"/>
        <v/>
      </c>
      <c r="L274">
        <v>372</v>
      </c>
      <c r="Q274" t="str">
        <f t="shared" si="8"/>
        <v/>
      </c>
    </row>
    <row r="275" spans="1:17" x14ac:dyDescent="0.2">
      <c r="A275">
        <v>274</v>
      </c>
      <c r="B275" t="s">
        <v>308</v>
      </c>
      <c r="C275" t="s">
        <v>17</v>
      </c>
      <c r="D275" t="s">
        <v>30</v>
      </c>
      <c r="E275" t="s">
        <v>36</v>
      </c>
      <c r="F275" t="s">
        <v>15</v>
      </c>
      <c r="G275" s="1">
        <v>45678</v>
      </c>
      <c r="H275" s="1">
        <v>45698</v>
      </c>
      <c r="I275" s="1">
        <v>45706</v>
      </c>
      <c r="J275" s="1">
        <v>45715</v>
      </c>
      <c r="K275" s="1" t="str">
        <f t="shared" si="9"/>
        <v>Feb-2025</v>
      </c>
      <c r="L275">
        <v>440</v>
      </c>
      <c r="Q275">
        <f t="shared" si="8"/>
        <v>37</v>
      </c>
    </row>
    <row r="276" spans="1:17" x14ac:dyDescent="0.2">
      <c r="A276">
        <v>275</v>
      </c>
      <c r="B276" t="s">
        <v>309</v>
      </c>
      <c r="C276" t="s">
        <v>17</v>
      </c>
      <c r="D276" t="s">
        <v>13</v>
      </c>
      <c r="E276" t="s">
        <v>36</v>
      </c>
      <c r="F276" t="s">
        <v>15</v>
      </c>
      <c r="G276" s="1">
        <v>45806</v>
      </c>
      <c r="H276" s="1">
        <v>45819</v>
      </c>
      <c r="I276" s="1">
        <v>45835</v>
      </c>
      <c r="J276" s="1">
        <v>45845</v>
      </c>
      <c r="K276" s="1" t="str">
        <f t="shared" si="9"/>
        <v>Jul-2025</v>
      </c>
      <c r="L276">
        <v>1147</v>
      </c>
      <c r="Q276">
        <f t="shared" si="8"/>
        <v>39</v>
      </c>
    </row>
    <row r="277" spans="1:17" x14ac:dyDescent="0.2">
      <c r="A277">
        <v>276</v>
      </c>
      <c r="B277" t="s">
        <v>310</v>
      </c>
      <c r="C277" t="s">
        <v>25</v>
      </c>
      <c r="D277" t="s">
        <v>21</v>
      </c>
      <c r="E277" t="s">
        <v>33</v>
      </c>
      <c r="F277" t="s">
        <v>51</v>
      </c>
      <c r="G277" s="1">
        <v>45806</v>
      </c>
      <c r="H277" s="1">
        <v>45812</v>
      </c>
      <c r="K277" s="1" t="str">
        <f t="shared" si="9"/>
        <v/>
      </c>
      <c r="L277">
        <v>282</v>
      </c>
      <c r="Q277" t="str">
        <f t="shared" si="8"/>
        <v/>
      </c>
    </row>
    <row r="278" spans="1:17" x14ac:dyDescent="0.2">
      <c r="A278">
        <v>277</v>
      </c>
      <c r="B278" t="s">
        <v>311</v>
      </c>
      <c r="C278" t="s">
        <v>46</v>
      </c>
      <c r="D278" t="s">
        <v>13</v>
      </c>
      <c r="E278" t="s">
        <v>36</v>
      </c>
      <c r="F278" t="s">
        <v>27</v>
      </c>
      <c r="G278" s="1">
        <v>45859</v>
      </c>
      <c r="H278" s="1">
        <v>45879</v>
      </c>
      <c r="I278" s="1">
        <v>45884</v>
      </c>
      <c r="K278" s="1" t="str">
        <f t="shared" si="9"/>
        <v/>
      </c>
      <c r="L278">
        <v>316</v>
      </c>
      <c r="Q278" t="str">
        <f t="shared" si="8"/>
        <v/>
      </c>
    </row>
    <row r="279" spans="1:17" x14ac:dyDescent="0.2">
      <c r="A279">
        <v>278</v>
      </c>
      <c r="B279" t="s">
        <v>312</v>
      </c>
      <c r="C279" t="s">
        <v>25</v>
      </c>
      <c r="D279" t="s">
        <v>13</v>
      </c>
      <c r="E279" t="s">
        <v>49</v>
      </c>
      <c r="F279" t="s">
        <v>27</v>
      </c>
      <c r="G279" s="1">
        <v>45721</v>
      </c>
      <c r="H279" s="1">
        <v>45746</v>
      </c>
      <c r="I279" s="1">
        <v>45743</v>
      </c>
      <c r="K279" s="1" t="str">
        <f t="shared" si="9"/>
        <v/>
      </c>
      <c r="L279">
        <v>1151</v>
      </c>
      <c r="Q279" t="str">
        <f t="shared" si="8"/>
        <v/>
      </c>
    </row>
    <row r="280" spans="1:17" x14ac:dyDescent="0.2">
      <c r="A280">
        <v>279</v>
      </c>
      <c r="B280" t="s">
        <v>313</v>
      </c>
      <c r="C280" t="s">
        <v>35</v>
      </c>
      <c r="D280" t="s">
        <v>26</v>
      </c>
      <c r="E280" t="s">
        <v>22</v>
      </c>
      <c r="F280" t="s">
        <v>18</v>
      </c>
      <c r="G280" s="1">
        <v>45943</v>
      </c>
      <c r="H280" s="1">
        <v>45961</v>
      </c>
      <c r="K280" s="1" t="str">
        <f t="shared" si="9"/>
        <v/>
      </c>
      <c r="L280">
        <v>1764</v>
      </c>
      <c r="Q280" t="str">
        <f t="shared" si="8"/>
        <v/>
      </c>
    </row>
    <row r="281" spans="1:17" x14ac:dyDescent="0.2">
      <c r="A281">
        <v>280</v>
      </c>
      <c r="B281" t="s">
        <v>314</v>
      </c>
      <c r="C281" t="s">
        <v>25</v>
      </c>
      <c r="D281" t="s">
        <v>26</v>
      </c>
      <c r="E281" t="s">
        <v>14</v>
      </c>
      <c r="F281" t="s">
        <v>18</v>
      </c>
      <c r="G281" s="1">
        <v>45705</v>
      </c>
      <c r="H281" s="1">
        <v>45719</v>
      </c>
      <c r="K281" s="1" t="str">
        <f t="shared" si="9"/>
        <v/>
      </c>
      <c r="L281">
        <v>709</v>
      </c>
      <c r="Q281" t="str">
        <f t="shared" si="8"/>
        <v/>
      </c>
    </row>
    <row r="282" spans="1:17" x14ac:dyDescent="0.2">
      <c r="A282">
        <v>281</v>
      </c>
      <c r="B282" t="s">
        <v>315</v>
      </c>
      <c r="C282" t="s">
        <v>25</v>
      </c>
      <c r="D282" t="s">
        <v>26</v>
      </c>
      <c r="E282" t="s">
        <v>36</v>
      </c>
      <c r="F282" t="s">
        <v>27</v>
      </c>
      <c r="G282" s="1">
        <v>45823</v>
      </c>
      <c r="H282" s="1">
        <v>45846</v>
      </c>
      <c r="I282" s="1">
        <v>45847</v>
      </c>
      <c r="K282" s="1" t="str">
        <f t="shared" si="9"/>
        <v/>
      </c>
      <c r="L282">
        <v>429</v>
      </c>
      <c r="Q282" t="str">
        <f t="shared" si="8"/>
        <v/>
      </c>
    </row>
    <row r="283" spans="1:17" x14ac:dyDescent="0.2">
      <c r="A283">
        <v>282</v>
      </c>
      <c r="B283" t="s">
        <v>316</v>
      </c>
      <c r="C283" t="s">
        <v>12</v>
      </c>
      <c r="D283" t="s">
        <v>13</v>
      </c>
      <c r="E283" t="s">
        <v>36</v>
      </c>
      <c r="F283" t="s">
        <v>43</v>
      </c>
      <c r="G283" s="1">
        <v>45793</v>
      </c>
      <c r="K283" s="1" t="str">
        <f t="shared" si="9"/>
        <v/>
      </c>
      <c r="L283">
        <v>1809</v>
      </c>
      <c r="Q283" t="str">
        <f t="shared" si="8"/>
        <v/>
      </c>
    </row>
    <row r="284" spans="1:17" x14ac:dyDescent="0.2">
      <c r="A284">
        <v>283</v>
      </c>
      <c r="B284" t="s">
        <v>317</v>
      </c>
      <c r="C284" t="s">
        <v>20</v>
      </c>
      <c r="D284" t="s">
        <v>21</v>
      </c>
      <c r="E284" t="s">
        <v>33</v>
      </c>
      <c r="F284" t="s">
        <v>51</v>
      </c>
      <c r="G284" s="1">
        <v>45711</v>
      </c>
      <c r="H284" s="1">
        <v>45733</v>
      </c>
      <c r="K284" s="1" t="str">
        <f t="shared" si="9"/>
        <v/>
      </c>
      <c r="L284">
        <v>1937</v>
      </c>
      <c r="Q284" t="str">
        <f t="shared" si="8"/>
        <v/>
      </c>
    </row>
    <row r="285" spans="1:17" x14ac:dyDescent="0.2">
      <c r="A285">
        <v>284</v>
      </c>
      <c r="B285" t="s">
        <v>318</v>
      </c>
      <c r="C285" t="s">
        <v>46</v>
      </c>
      <c r="D285" t="s">
        <v>30</v>
      </c>
      <c r="E285" t="s">
        <v>33</v>
      </c>
      <c r="F285" t="s">
        <v>43</v>
      </c>
      <c r="G285" s="1">
        <v>45929</v>
      </c>
      <c r="K285" s="1" t="str">
        <f t="shared" si="9"/>
        <v/>
      </c>
      <c r="L285">
        <v>1535</v>
      </c>
      <c r="Q285" t="str">
        <f t="shared" si="8"/>
        <v/>
      </c>
    </row>
    <row r="286" spans="1:17" x14ac:dyDescent="0.2">
      <c r="A286">
        <v>285</v>
      </c>
      <c r="B286" t="s">
        <v>319</v>
      </c>
      <c r="C286" t="s">
        <v>46</v>
      </c>
      <c r="D286" t="s">
        <v>21</v>
      </c>
      <c r="E286" t="s">
        <v>14</v>
      </c>
      <c r="F286" t="s">
        <v>51</v>
      </c>
      <c r="G286" s="1">
        <v>45849</v>
      </c>
      <c r="H286" s="1">
        <v>45870</v>
      </c>
      <c r="K286" s="1" t="str">
        <f t="shared" si="9"/>
        <v/>
      </c>
      <c r="L286">
        <v>1402</v>
      </c>
      <c r="Q286" t="str">
        <f t="shared" si="8"/>
        <v/>
      </c>
    </row>
    <row r="287" spans="1:17" x14ac:dyDescent="0.2">
      <c r="A287">
        <v>286</v>
      </c>
      <c r="B287" t="s">
        <v>320</v>
      </c>
      <c r="C287" t="s">
        <v>25</v>
      </c>
      <c r="D287" t="s">
        <v>21</v>
      </c>
      <c r="E287" t="s">
        <v>14</v>
      </c>
      <c r="F287" t="s">
        <v>43</v>
      </c>
      <c r="G287" s="1">
        <v>45856</v>
      </c>
      <c r="K287" s="1" t="str">
        <f t="shared" si="9"/>
        <v/>
      </c>
      <c r="L287">
        <v>1580</v>
      </c>
      <c r="Q287" t="str">
        <f t="shared" si="8"/>
        <v/>
      </c>
    </row>
    <row r="288" spans="1:17" x14ac:dyDescent="0.2">
      <c r="A288">
        <v>287</v>
      </c>
      <c r="B288" t="s">
        <v>321</v>
      </c>
      <c r="C288" t="s">
        <v>46</v>
      </c>
      <c r="D288" t="s">
        <v>13</v>
      </c>
      <c r="E288" t="s">
        <v>36</v>
      </c>
      <c r="F288" t="s">
        <v>31</v>
      </c>
      <c r="G288" s="1">
        <v>45679</v>
      </c>
      <c r="H288" s="1">
        <v>45687</v>
      </c>
      <c r="K288" s="1" t="str">
        <f t="shared" si="9"/>
        <v/>
      </c>
      <c r="L288">
        <v>1611</v>
      </c>
      <c r="Q288" t="str">
        <f t="shared" si="8"/>
        <v/>
      </c>
    </row>
    <row r="289" spans="1:17" x14ac:dyDescent="0.2">
      <c r="A289">
        <v>288</v>
      </c>
      <c r="B289" t="s">
        <v>322</v>
      </c>
      <c r="C289" t="s">
        <v>17</v>
      </c>
      <c r="D289" t="s">
        <v>26</v>
      </c>
      <c r="E289" t="s">
        <v>36</v>
      </c>
      <c r="F289" t="s">
        <v>43</v>
      </c>
      <c r="G289" s="1">
        <v>45951</v>
      </c>
      <c r="K289" s="1" t="str">
        <f t="shared" si="9"/>
        <v/>
      </c>
      <c r="L289">
        <v>1375</v>
      </c>
      <c r="Q289" t="str">
        <f t="shared" si="8"/>
        <v/>
      </c>
    </row>
    <row r="290" spans="1:17" x14ac:dyDescent="0.2">
      <c r="A290">
        <v>289</v>
      </c>
      <c r="B290" t="s">
        <v>323</v>
      </c>
      <c r="C290" t="s">
        <v>17</v>
      </c>
      <c r="D290" t="s">
        <v>30</v>
      </c>
      <c r="E290" t="s">
        <v>22</v>
      </c>
      <c r="F290" t="s">
        <v>27</v>
      </c>
      <c r="G290" s="1">
        <v>45831</v>
      </c>
      <c r="H290" s="1">
        <v>45846</v>
      </c>
      <c r="I290" s="1">
        <v>45871</v>
      </c>
      <c r="K290" s="1" t="str">
        <f t="shared" si="9"/>
        <v/>
      </c>
      <c r="L290">
        <v>698</v>
      </c>
      <c r="Q290" t="str">
        <f t="shared" si="8"/>
        <v/>
      </c>
    </row>
    <row r="291" spans="1:17" x14ac:dyDescent="0.2">
      <c r="A291">
        <v>290</v>
      </c>
      <c r="B291" t="s">
        <v>324</v>
      </c>
      <c r="C291" t="s">
        <v>35</v>
      </c>
      <c r="D291" t="s">
        <v>30</v>
      </c>
      <c r="E291" t="s">
        <v>49</v>
      </c>
      <c r="F291" t="s">
        <v>27</v>
      </c>
      <c r="G291" s="1">
        <v>45674</v>
      </c>
      <c r="H291" s="1">
        <v>45686</v>
      </c>
      <c r="I291" s="1">
        <v>45710</v>
      </c>
      <c r="K291" s="1" t="str">
        <f t="shared" si="9"/>
        <v/>
      </c>
      <c r="L291">
        <v>1258</v>
      </c>
      <c r="Q291" t="str">
        <f t="shared" si="8"/>
        <v/>
      </c>
    </row>
    <row r="292" spans="1:17" x14ac:dyDescent="0.2">
      <c r="A292">
        <v>291</v>
      </c>
      <c r="B292" t="s">
        <v>325</v>
      </c>
      <c r="C292" t="s">
        <v>46</v>
      </c>
      <c r="D292" t="s">
        <v>38</v>
      </c>
      <c r="E292" t="s">
        <v>22</v>
      </c>
      <c r="F292" t="s">
        <v>27</v>
      </c>
      <c r="G292" s="1">
        <v>45732</v>
      </c>
      <c r="H292" s="1">
        <v>45746</v>
      </c>
      <c r="I292" s="1">
        <v>45753</v>
      </c>
      <c r="K292" s="1" t="str">
        <f t="shared" si="9"/>
        <v/>
      </c>
      <c r="L292">
        <v>1652</v>
      </c>
      <c r="Q292" t="str">
        <f t="shared" si="8"/>
        <v/>
      </c>
    </row>
    <row r="293" spans="1:17" x14ac:dyDescent="0.2">
      <c r="A293">
        <v>292</v>
      </c>
      <c r="B293" t="s">
        <v>326</v>
      </c>
      <c r="C293" t="s">
        <v>25</v>
      </c>
      <c r="D293" t="s">
        <v>13</v>
      </c>
      <c r="E293" t="s">
        <v>49</v>
      </c>
      <c r="F293" t="s">
        <v>18</v>
      </c>
      <c r="G293" s="1">
        <v>45946</v>
      </c>
      <c r="H293" s="1">
        <v>45968</v>
      </c>
      <c r="K293" s="1" t="str">
        <f t="shared" si="9"/>
        <v/>
      </c>
      <c r="L293">
        <v>1253</v>
      </c>
      <c r="Q293" t="str">
        <f t="shared" si="8"/>
        <v/>
      </c>
    </row>
    <row r="294" spans="1:17" x14ac:dyDescent="0.2">
      <c r="A294">
        <v>293</v>
      </c>
      <c r="B294" t="s">
        <v>327</v>
      </c>
      <c r="C294" t="s">
        <v>25</v>
      </c>
      <c r="D294" t="s">
        <v>38</v>
      </c>
      <c r="E294" t="s">
        <v>14</v>
      </c>
      <c r="F294" t="s">
        <v>43</v>
      </c>
      <c r="G294" s="1">
        <v>45889</v>
      </c>
      <c r="K294" s="1" t="str">
        <f t="shared" si="9"/>
        <v/>
      </c>
      <c r="L294">
        <v>1756</v>
      </c>
      <c r="Q294" t="str">
        <f t="shared" si="8"/>
        <v/>
      </c>
    </row>
    <row r="295" spans="1:17" x14ac:dyDescent="0.2">
      <c r="A295">
        <v>294</v>
      </c>
      <c r="B295" t="s">
        <v>328</v>
      </c>
      <c r="C295" t="s">
        <v>12</v>
      </c>
      <c r="D295" t="s">
        <v>26</v>
      </c>
      <c r="E295" t="s">
        <v>14</v>
      </c>
      <c r="F295" t="s">
        <v>43</v>
      </c>
      <c r="G295" s="1">
        <v>45894</v>
      </c>
      <c r="K295" s="1" t="str">
        <f t="shared" si="9"/>
        <v/>
      </c>
      <c r="L295">
        <v>981</v>
      </c>
      <c r="Q295" t="str">
        <f t="shared" si="8"/>
        <v/>
      </c>
    </row>
    <row r="296" spans="1:17" x14ac:dyDescent="0.2">
      <c r="A296">
        <v>295</v>
      </c>
      <c r="B296" t="s">
        <v>329</v>
      </c>
      <c r="C296" t="s">
        <v>35</v>
      </c>
      <c r="D296" t="s">
        <v>38</v>
      </c>
      <c r="E296" t="s">
        <v>22</v>
      </c>
      <c r="F296" t="s">
        <v>43</v>
      </c>
      <c r="G296" s="1">
        <v>45746</v>
      </c>
      <c r="K296" s="1" t="str">
        <f t="shared" si="9"/>
        <v/>
      </c>
      <c r="L296">
        <v>797</v>
      </c>
      <c r="Q296" t="str">
        <f t="shared" si="8"/>
        <v/>
      </c>
    </row>
    <row r="297" spans="1:17" x14ac:dyDescent="0.2">
      <c r="A297">
        <v>296</v>
      </c>
      <c r="B297" t="s">
        <v>330</v>
      </c>
      <c r="C297" t="s">
        <v>46</v>
      </c>
      <c r="D297" t="s">
        <v>26</v>
      </c>
      <c r="E297" t="s">
        <v>22</v>
      </c>
      <c r="F297" t="s">
        <v>27</v>
      </c>
      <c r="G297" s="1">
        <v>45740</v>
      </c>
      <c r="H297" s="1">
        <v>45751</v>
      </c>
      <c r="I297" s="1">
        <v>45761</v>
      </c>
      <c r="K297" s="1" t="str">
        <f t="shared" si="9"/>
        <v/>
      </c>
      <c r="L297">
        <v>794</v>
      </c>
      <c r="Q297" t="str">
        <f t="shared" si="8"/>
        <v/>
      </c>
    </row>
    <row r="298" spans="1:17" x14ac:dyDescent="0.2">
      <c r="A298">
        <v>297</v>
      </c>
      <c r="B298" t="s">
        <v>331</v>
      </c>
      <c r="C298" t="s">
        <v>20</v>
      </c>
      <c r="D298" t="s">
        <v>48</v>
      </c>
      <c r="E298" t="s">
        <v>14</v>
      </c>
      <c r="F298" t="s">
        <v>23</v>
      </c>
      <c r="G298" s="1">
        <v>45720</v>
      </c>
      <c r="K298" s="1" t="str">
        <f t="shared" si="9"/>
        <v/>
      </c>
      <c r="L298">
        <v>228</v>
      </c>
      <c r="Q298" t="str">
        <f t="shared" si="8"/>
        <v/>
      </c>
    </row>
    <row r="299" spans="1:17" x14ac:dyDescent="0.2">
      <c r="A299">
        <v>298</v>
      </c>
      <c r="B299" t="s">
        <v>332</v>
      </c>
      <c r="C299" t="s">
        <v>35</v>
      </c>
      <c r="D299" t="s">
        <v>48</v>
      </c>
      <c r="E299" t="s">
        <v>33</v>
      </c>
      <c r="F299" t="s">
        <v>31</v>
      </c>
      <c r="G299" s="1">
        <v>45840</v>
      </c>
      <c r="H299" s="1">
        <v>45865</v>
      </c>
      <c r="K299" s="1" t="str">
        <f t="shared" si="9"/>
        <v/>
      </c>
      <c r="L299">
        <v>368</v>
      </c>
      <c r="Q299" t="str">
        <f t="shared" si="8"/>
        <v/>
      </c>
    </row>
    <row r="300" spans="1:17" x14ac:dyDescent="0.2">
      <c r="A300">
        <v>299</v>
      </c>
      <c r="B300" t="s">
        <v>333</v>
      </c>
      <c r="C300" t="s">
        <v>46</v>
      </c>
      <c r="D300" t="s">
        <v>48</v>
      </c>
      <c r="E300" t="s">
        <v>36</v>
      </c>
      <c r="F300" t="s">
        <v>51</v>
      </c>
      <c r="G300" s="1">
        <v>45808</v>
      </c>
      <c r="H300" s="1">
        <v>45825</v>
      </c>
      <c r="K300" s="1" t="str">
        <f t="shared" si="9"/>
        <v/>
      </c>
      <c r="L300">
        <v>490</v>
      </c>
      <c r="Q300" t="str">
        <f t="shared" si="8"/>
        <v/>
      </c>
    </row>
    <row r="301" spans="1:17" x14ac:dyDescent="0.2">
      <c r="A301">
        <v>300</v>
      </c>
      <c r="B301" t="s">
        <v>334</v>
      </c>
      <c r="C301" t="s">
        <v>46</v>
      </c>
      <c r="D301" t="s">
        <v>26</v>
      </c>
      <c r="E301" t="s">
        <v>22</v>
      </c>
      <c r="F301" t="s">
        <v>31</v>
      </c>
      <c r="G301" s="1">
        <v>45897</v>
      </c>
      <c r="H301" s="1">
        <v>45913</v>
      </c>
      <c r="K301" s="1" t="str">
        <f t="shared" si="9"/>
        <v/>
      </c>
      <c r="L301">
        <v>492</v>
      </c>
      <c r="Q301" t="str">
        <f t="shared" si="8"/>
        <v/>
      </c>
    </row>
    <row r="302" spans="1:17" x14ac:dyDescent="0.2">
      <c r="A302">
        <v>301</v>
      </c>
      <c r="B302" t="s">
        <v>335</v>
      </c>
      <c r="C302" t="s">
        <v>17</v>
      </c>
      <c r="D302" t="s">
        <v>38</v>
      </c>
      <c r="E302" t="s">
        <v>36</v>
      </c>
      <c r="F302" t="s">
        <v>23</v>
      </c>
      <c r="G302" s="1">
        <v>45729</v>
      </c>
      <c r="K302" s="1" t="str">
        <f t="shared" si="9"/>
        <v/>
      </c>
      <c r="L302">
        <v>808</v>
      </c>
      <c r="Q302" t="str">
        <f t="shared" si="8"/>
        <v/>
      </c>
    </row>
    <row r="303" spans="1:17" x14ac:dyDescent="0.2">
      <c r="A303">
        <v>302</v>
      </c>
      <c r="B303" t="s">
        <v>336</v>
      </c>
      <c r="C303" t="s">
        <v>12</v>
      </c>
      <c r="D303" t="s">
        <v>48</v>
      </c>
      <c r="E303" t="s">
        <v>22</v>
      </c>
      <c r="F303" t="s">
        <v>27</v>
      </c>
      <c r="G303" s="1">
        <v>45750</v>
      </c>
      <c r="H303" s="1">
        <v>45774</v>
      </c>
      <c r="I303" s="1">
        <v>45776</v>
      </c>
      <c r="K303" s="1" t="str">
        <f t="shared" si="9"/>
        <v/>
      </c>
      <c r="L303">
        <v>1223</v>
      </c>
      <c r="Q303" t="str">
        <f t="shared" si="8"/>
        <v/>
      </c>
    </row>
    <row r="304" spans="1:17" x14ac:dyDescent="0.2">
      <c r="A304">
        <v>303</v>
      </c>
      <c r="B304" t="s">
        <v>337</v>
      </c>
      <c r="C304" t="s">
        <v>12</v>
      </c>
      <c r="D304" t="s">
        <v>30</v>
      </c>
      <c r="E304" t="s">
        <v>33</v>
      </c>
      <c r="F304" t="s">
        <v>15</v>
      </c>
      <c r="G304" s="1">
        <v>45884</v>
      </c>
      <c r="H304" s="1">
        <v>45900</v>
      </c>
      <c r="I304" s="1">
        <v>45922</v>
      </c>
      <c r="J304" s="1">
        <v>45932</v>
      </c>
      <c r="K304" s="1" t="str">
        <f t="shared" si="9"/>
        <v>Oct-2025</v>
      </c>
      <c r="L304">
        <v>717</v>
      </c>
      <c r="Q304">
        <f t="shared" si="8"/>
        <v>48</v>
      </c>
    </row>
    <row r="305" spans="1:17" x14ac:dyDescent="0.2">
      <c r="A305">
        <v>304</v>
      </c>
      <c r="B305" t="s">
        <v>338</v>
      </c>
      <c r="C305" t="s">
        <v>20</v>
      </c>
      <c r="D305" t="s">
        <v>30</v>
      </c>
      <c r="E305" t="s">
        <v>36</v>
      </c>
      <c r="F305" t="s">
        <v>23</v>
      </c>
      <c r="G305" s="1">
        <v>45854</v>
      </c>
      <c r="K305" s="1" t="str">
        <f t="shared" si="9"/>
        <v/>
      </c>
      <c r="L305">
        <v>393</v>
      </c>
      <c r="Q305" t="str">
        <f t="shared" si="8"/>
        <v/>
      </c>
    </row>
    <row r="306" spans="1:17" x14ac:dyDescent="0.2">
      <c r="A306">
        <v>305</v>
      </c>
      <c r="B306" t="s">
        <v>339</v>
      </c>
      <c r="C306" t="s">
        <v>20</v>
      </c>
      <c r="D306" t="s">
        <v>13</v>
      </c>
      <c r="E306" t="s">
        <v>49</v>
      </c>
      <c r="F306" t="s">
        <v>15</v>
      </c>
      <c r="G306" s="1">
        <v>45899</v>
      </c>
      <c r="H306" s="1">
        <v>45907</v>
      </c>
      <c r="I306" s="1">
        <v>45935</v>
      </c>
      <c r="J306" s="1">
        <v>45942</v>
      </c>
      <c r="K306" s="1" t="str">
        <f t="shared" si="9"/>
        <v>Oct-2025</v>
      </c>
      <c r="L306">
        <v>278</v>
      </c>
      <c r="Q306">
        <f t="shared" si="8"/>
        <v>43</v>
      </c>
    </row>
    <row r="307" spans="1:17" x14ac:dyDescent="0.2">
      <c r="A307">
        <v>306</v>
      </c>
      <c r="B307" t="s">
        <v>340</v>
      </c>
      <c r="C307" t="s">
        <v>25</v>
      </c>
      <c r="D307" t="s">
        <v>30</v>
      </c>
      <c r="E307" t="s">
        <v>36</v>
      </c>
      <c r="F307" t="s">
        <v>23</v>
      </c>
      <c r="G307" s="1">
        <v>45662</v>
      </c>
      <c r="K307" s="1" t="str">
        <f t="shared" si="9"/>
        <v/>
      </c>
      <c r="L307">
        <v>1049</v>
      </c>
      <c r="Q307" t="str">
        <f t="shared" si="8"/>
        <v/>
      </c>
    </row>
    <row r="308" spans="1:17" x14ac:dyDescent="0.2">
      <c r="A308">
        <v>307</v>
      </c>
      <c r="B308" t="s">
        <v>341</v>
      </c>
      <c r="C308" t="s">
        <v>46</v>
      </c>
      <c r="D308" t="s">
        <v>30</v>
      </c>
      <c r="E308" t="s">
        <v>14</v>
      </c>
      <c r="F308" t="s">
        <v>43</v>
      </c>
      <c r="G308" s="1">
        <v>45659</v>
      </c>
      <c r="K308" s="1" t="str">
        <f t="shared" si="9"/>
        <v/>
      </c>
      <c r="L308">
        <v>1557</v>
      </c>
      <c r="Q308" t="str">
        <f t="shared" si="8"/>
        <v/>
      </c>
    </row>
    <row r="309" spans="1:17" x14ac:dyDescent="0.2">
      <c r="A309">
        <v>308</v>
      </c>
      <c r="B309" t="s">
        <v>342</v>
      </c>
      <c r="C309" t="s">
        <v>25</v>
      </c>
      <c r="D309" t="s">
        <v>30</v>
      </c>
      <c r="E309" t="s">
        <v>33</v>
      </c>
      <c r="F309" t="s">
        <v>31</v>
      </c>
      <c r="G309" s="1">
        <v>45664</v>
      </c>
      <c r="H309" s="1">
        <v>45669</v>
      </c>
      <c r="K309" s="1" t="str">
        <f t="shared" si="9"/>
        <v/>
      </c>
      <c r="L309">
        <v>1933</v>
      </c>
      <c r="Q309" t="str">
        <f t="shared" si="8"/>
        <v/>
      </c>
    </row>
    <row r="310" spans="1:17" x14ac:dyDescent="0.2">
      <c r="A310">
        <v>309</v>
      </c>
      <c r="B310" t="s">
        <v>343</v>
      </c>
      <c r="C310" t="s">
        <v>20</v>
      </c>
      <c r="D310" t="s">
        <v>30</v>
      </c>
      <c r="E310" t="s">
        <v>22</v>
      </c>
      <c r="F310" t="s">
        <v>51</v>
      </c>
      <c r="G310" s="1">
        <v>45780</v>
      </c>
      <c r="H310" s="1">
        <v>45788</v>
      </c>
      <c r="K310" s="1" t="str">
        <f t="shared" si="9"/>
        <v/>
      </c>
      <c r="L310">
        <v>281</v>
      </c>
      <c r="Q310" t="str">
        <f t="shared" si="8"/>
        <v/>
      </c>
    </row>
    <row r="311" spans="1:17" x14ac:dyDescent="0.2">
      <c r="A311">
        <v>310</v>
      </c>
      <c r="B311" t="s">
        <v>344</v>
      </c>
      <c r="C311" t="s">
        <v>17</v>
      </c>
      <c r="D311" t="s">
        <v>26</v>
      </c>
      <c r="E311" t="s">
        <v>33</v>
      </c>
      <c r="F311" t="s">
        <v>51</v>
      </c>
      <c r="G311" s="1">
        <v>45752</v>
      </c>
      <c r="H311" s="1">
        <v>45766</v>
      </c>
      <c r="K311" s="1" t="str">
        <f t="shared" si="9"/>
        <v/>
      </c>
      <c r="L311">
        <v>1815</v>
      </c>
      <c r="Q311" t="str">
        <f t="shared" si="8"/>
        <v/>
      </c>
    </row>
    <row r="312" spans="1:17" x14ac:dyDescent="0.2">
      <c r="A312">
        <v>311</v>
      </c>
      <c r="B312" t="s">
        <v>345</v>
      </c>
      <c r="C312" t="s">
        <v>46</v>
      </c>
      <c r="D312" t="s">
        <v>13</v>
      </c>
      <c r="E312" t="s">
        <v>36</v>
      </c>
      <c r="F312" t="s">
        <v>15</v>
      </c>
      <c r="G312" s="1">
        <v>45713</v>
      </c>
      <c r="H312" s="1">
        <v>45736</v>
      </c>
      <c r="I312" s="1">
        <v>45738</v>
      </c>
      <c r="J312" s="1">
        <v>45743</v>
      </c>
      <c r="K312" s="1" t="str">
        <f t="shared" si="9"/>
        <v>Mar-2025</v>
      </c>
      <c r="L312">
        <v>1057</v>
      </c>
      <c r="Q312">
        <f t="shared" si="8"/>
        <v>30</v>
      </c>
    </row>
    <row r="313" spans="1:17" x14ac:dyDescent="0.2">
      <c r="A313">
        <v>312</v>
      </c>
      <c r="B313" t="s">
        <v>346</v>
      </c>
      <c r="C313" t="s">
        <v>20</v>
      </c>
      <c r="D313" t="s">
        <v>38</v>
      </c>
      <c r="E313" t="s">
        <v>36</v>
      </c>
      <c r="F313" t="s">
        <v>43</v>
      </c>
      <c r="G313" s="1">
        <v>45881</v>
      </c>
      <c r="K313" s="1" t="str">
        <f t="shared" si="9"/>
        <v/>
      </c>
      <c r="L313">
        <v>671</v>
      </c>
      <c r="Q313" t="str">
        <f t="shared" si="8"/>
        <v/>
      </c>
    </row>
    <row r="314" spans="1:17" x14ac:dyDescent="0.2">
      <c r="A314">
        <v>313</v>
      </c>
      <c r="B314" t="s">
        <v>347</v>
      </c>
      <c r="C314" t="s">
        <v>12</v>
      </c>
      <c r="D314" t="s">
        <v>13</v>
      </c>
      <c r="E314" t="s">
        <v>49</v>
      </c>
      <c r="F314" t="s">
        <v>51</v>
      </c>
      <c r="G314" s="1">
        <v>45665</v>
      </c>
      <c r="H314" s="1">
        <v>45681</v>
      </c>
      <c r="K314" s="1" t="str">
        <f t="shared" si="9"/>
        <v/>
      </c>
      <c r="L314">
        <v>245</v>
      </c>
      <c r="Q314" t="str">
        <f t="shared" si="8"/>
        <v/>
      </c>
    </row>
    <row r="315" spans="1:17" x14ac:dyDescent="0.2">
      <c r="A315">
        <v>314</v>
      </c>
      <c r="B315" t="s">
        <v>348</v>
      </c>
      <c r="C315" t="s">
        <v>46</v>
      </c>
      <c r="D315" t="s">
        <v>30</v>
      </c>
      <c r="E315" t="s">
        <v>49</v>
      </c>
      <c r="F315" t="s">
        <v>51</v>
      </c>
      <c r="G315" s="1">
        <v>45950</v>
      </c>
      <c r="H315" s="1">
        <v>45975</v>
      </c>
      <c r="K315" s="1" t="str">
        <f t="shared" si="9"/>
        <v/>
      </c>
      <c r="L315">
        <v>467</v>
      </c>
      <c r="Q315" t="str">
        <f t="shared" si="8"/>
        <v/>
      </c>
    </row>
    <row r="316" spans="1:17" x14ac:dyDescent="0.2">
      <c r="A316">
        <v>315</v>
      </c>
      <c r="B316" t="s">
        <v>349</v>
      </c>
      <c r="C316" t="s">
        <v>35</v>
      </c>
      <c r="D316" t="s">
        <v>48</v>
      </c>
      <c r="E316" t="s">
        <v>14</v>
      </c>
      <c r="F316" t="s">
        <v>27</v>
      </c>
      <c r="G316" s="1">
        <v>45697</v>
      </c>
      <c r="H316" s="1">
        <v>45710</v>
      </c>
      <c r="I316" s="1">
        <v>45723</v>
      </c>
      <c r="K316" s="1" t="str">
        <f t="shared" si="9"/>
        <v/>
      </c>
      <c r="L316">
        <v>539</v>
      </c>
      <c r="Q316" t="str">
        <f t="shared" si="8"/>
        <v/>
      </c>
    </row>
    <row r="317" spans="1:17" x14ac:dyDescent="0.2">
      <c r="A317">
        <v>316</v>
      </c>
      <c r="B317" t="s">
        <v>350</v>
      </c>
      <c r="C317" t="s">
        <v>25</v>
      </c>
      <c r="D317" t="s">
        <v>26</v>
      </c>
      <c r="E317" t="s">
        <v>33</v>
      </c>
      <c r="F317" t="s">
        <v>18</v>
      </c>
      <c r="G317" s="1">
        <v>45810</v>
      </c>
      <c r="H317" s="1">
        <v>45833</v>
      </c>
      <c r="K317" s="1" t="str">
        <f t="shared" si="9"/>
        <v/>
      </c>
      <c r="L317">
        <v>865</v>
      </c>
      <c r="Q317" t="str">
        <f t="shared" si="8"/>
        <v/>
      </c>
    </row>
    <row r="318" spans="1:17" x14ac:dyDescent="0.2">
      <c r="A318">
        <v>317</v>
      </c>
      <c r="B318" t="s">
        <v>351</v>
      </c>
      <c r="C318" t="s">
        <v>46</v>
      </c>
      <c r="D318" t="s">
        <v>48</v>
      </c>
      <c r="E318" t="s">
        <v>49</v>
      </c>
      <c r="F318" t="s">
        <v>23</v>
      </c>
      <c r="G318" s="1">
        <v>45685</v>
      </c>
      <c r="K318" s="1" t="str">
        <f t="shared" si="9"/>
        <v/>
      </c>
      <c r="L318">
        <v>530</v>
      </c>
      <c r="Q318" t="str">
        <f t="shared" si="8"/>
        <v/>
      </c>
    </row>
    <row r="319" spans="1:17" x14ac:dyDescent="0.2">
      <c r="A319">
        <v>318</v>
      </c>
      <c r="B319" t="s">
        <v>352</v>
      </c>
      <c r="C319" t="s">
        <v>20</v>
      </c>
      <c r="D319" t="s">
        <v>21</v>
      </c>
      <c r="E319" t="s">
        <v>49</v>
      </c>
      <c r="F319" t="s">
        <v>51</v>
      </c>
      <c r="G319" s="1">
        <v>45918</v>
      </c>
      <c r="H319" s="1">
        <v>45942</v>
      </c>
      <c r="K319" s="1" t="str">
        <f t="shared" si="9"/>
        <v/>
      </c>
      <c r="L319">
        <v>1634</v>
      </c>
      <c r="Q319" t="str">
        <f t="shared" si="8"/>
        <v/>
      </c>
    </row>
    <row r="320" spans="1:17" x14ac:dyDescent="0.2">
      <c r="A320">
        <v>319</v>
      </c>
      <c r="B320" t="s">
        <v>353</v>
      </c>
      <c r="C320" t="s">
        <v>17</v>
      </c>
      <c r="D320" t="s">
        <v>30</v>
      </c>
      <c r="E320" t="s">
        <v>36</v>
      </c>
      <c r="F320" t="s">
        <v>23</v>
      </c>
      <c r="G320" s="1">
        <v>45800</v>
      </c>
      <c r="K320" s="1" t="str">
        <f t="shared" si="9"/>
        <v/>
      </c>
      <c r="L320">
        <v>1792</v>
      </c>
      <c r="Q320" t="str">
        <f t="shared" si="8"/>
        <v/>
      </c>
    </row>
    <row r="321" spans="1:17" x14ac:dyDescent="0.2">
      <c r="A321">
        <v>320</v>
      </c>
      <c r="B321" t="s">
        <v>354</v>
      </c>
      <c r="C321" t="s">
        <v>12</v>
      </c>
      <c r="D321" t="s">
        <v>48</v>
      </c>
      <c r="E321" t="s">
        <v>14</v>
      </c>
      <c r="F321" t="s">
        <v>15</v>
      </c>
      <c r="G321" s="1">
        <v>45697</v>
      </c>
      <c r="H321" s="1">
        <v>45722</v>
      </c>
      <c r="I321" s="1">
        <v>45726</v>
      </c>
      <c r="J321" s="1">
        <v>45733</v>
      </c>
      <c r="K321" s="1" t="str">
        <f t="shared" si="9"/>
        <v>Mar-2025</v>
      </c>
      <c r="L321">
        <v>801</v>
      </c>
      <c r="Q321">
        <f t="shared" si="8"/>
        <v>36</v>
      </c>
    </row>
    <row r="322" spans="1:17" x14ac:dyDescent="0.2">
      <c r="A322">
        <v>321</v>
      </c>
      <c r="B322" t="s">
        <v>355</v>
      </c>
      <c r="C322" t="s">
        <v>35</v>
      </c>
      <c r="D322" t="s">
        <v>13</v>
      </c>
      <c r="E322" t="s">
        <v>49</v>
      </c>
      <c r="F322" t="s">
        <v>15</v>
      </c>
      <c r="G322" s="1">
        <v>45873</v>
      </c>
      <c r="H322" s="1">
        <v>45881</v>
      </c>
      <c r="I322" s="1">
        <v>45900</v>
      </c>
      <c r="J322" s="1">
        <v>45908</v>
      </c>
      <c r="K322" s="1" t="str">
        <f t="shared" si="9"/>
        <v>Sep-2025</v>
      </c>
      <c r="L322">
        <v>433</v>
      </c>
      <c r="Q322">
        <f t="shared" ref="Q322:Q385" si="10">IF(J322="","",J322-G322)</f>
        <v>35</v>
      </c>
    </row>
    <row r="323" spans="1:17" x14ac:dyDescent="0.2">
      <c r="A323">
        <v>322</v>
      </c>
      <c r="B323" t="s">
        <v>356</v>
      </c>
      <c r="C323" t="s">
        <v>12</v>
      </c>
      <c r="D323" t="s">
        <v>38</v>
      </c>
      <c r="E323" t="s">
        <v>22</v>
      </c>
      <c r="F323" t="s">
        <v>18</v>
      </c>
      <c r="G323" s="1">
        <v>45947</v>
      </c>
      <c r="H323" s="1">
        <v>45966</v>
      </c>
      <c r="K323" s="1" t="str">
        <f t="shared" ref="K323:K386" si="11">IF(J323="","",TEXT(J323,"mmm-yyyy"))</f>
        <v/>
      </c>
      <c r="L323">
        <v>303</v>
      </c>
      <c r="Q323" t="str">
        <f t="shared" si="10"/>
        <v/>
      </c>
    </row>
    <row r="324" spans="1:17" x14ac:dyDescent="0.2">
      <c r="A324">
        <v>323</v>
      </c>
      <c r="B324" t="s">
        <v>357</v>
      </c>
      <c r="C324" t="s">
        <v>12</v>
      </c>
      <c r="D324" t="s">
        <v>13</v>
      </c>
      <c r="E324" t="s">
        <v>33</v>
      </c>
      <c r="F324" t="s">
        <v>43</v>
      </c>
      <c r="G324" s="1">
        <v>45914</v>
      </c>
      <c r="K324" s="1" t="str">
        <f t="shared" si="11"/>
        <v/>
      </c>
      <c r="L324">
        <v>555</v>
      </c>
      <c r="Q324" t="str">
        <f t="shared" si="10"/>
        <v/>
      </c>
    </row>
    <row r="325" spans="1:17" x14ac:dyDescent="0.2">
      <c r="A325">
        <v>324</v>
      </c>
      <c r="B325" t="s">
        <v>358</v>
      </c>
      <c r="C325" t="s">
        <v>17</v>
      </c>
      <c r="D325" t="s">
        <v>21</v>
      </c>
      <c r="E325" t="s">
        <v>14</v>
      </c>
      <c r="F325" t="s">
        <v>18</v>
      </c>
      <c r="G325" s="1">
        <v>45778</v>
      </c>
      <c r="H325" s="1">
        <v>45784</v>
      </c>
      <c r="K325" s="1" t="str">
        <f t="shared" si="11"/>
        <v/>
      </c>
      <c r="L325">
        <v>1746</v>
      </c>
      <c r="Q325" t="str">
        <f t="shared" si="10"/>
        <v/>
      </c>
    </row>
    <row r="326" spans="1:17" x14ac:dyDescent="0.2">
      <c r="A326">
        <v>325</v>
      </c>
      <c r="B326" t="s">
        <v>359</v>
      </c>
      <c r="C326" t="s">
        <v>25</v>
      </c>
      <c r="D326" t="s">
        <v>21</v>
      </c>
      <c r="E326" t="s">
        <v>22</v>
      </c>
      <c r="F326" t="s">
        <v>27</v>
      </c>
      <c r="G326" s="1">
        <v>45765</v>
      </c>
      <c r="H326" s="1">
        <v>45790</v>
      </c>
      <c r="I326" s="1">
        <v>45803</v>
      </c>
      <c r="K326" s="1" t="str">
        <f t="shared" si="11"/>
        <v/>
      </c>
      <c r="L326">
        <v>1082</v>
      </c>
      <c r="Q326" t="str">
        <f t="shared" si="10"/>
        <v/>
      </c>
    </row>
    <row r="327" spans="1:17" x14ac:dyDescent="0.2">
      <c r="A327">
        <v>326</v>
      </c>
      <c r="B327" t="s">
        <v>360</v>
      </c>
      <c r="C327" t="s">
        <v>17</v>
      </c>
      <c r="D327" t="s">
        <v>21</v>
      </c>
      <c r="E327" t="s">
        <v>36</v>
      </c>
      <c r="F327" t="s">
        <v>51</v>
      </c>
      <c r="G327" s="1">
        <v>45688</v>
      </c>
      <c r="H327" s="1">
        <v>45702</v>
      </c>
      <c r="K327" s="1" t="str">
        <f t="shared" si="11"/>
        <v/>
      </c>
      <c r="L327">
        <v>1708</v>
      </c>
      <c r="Q327" t="str">
        <f t="shared" si="10"/>
        <v/>
      </c>
    </row>
    <row r="328" spans="1:17" x14ac:dyDescent="0.2">
      <c r="A328">
        <v>327</v>
      </c>
      <c r="B328" t="s">
        <v>361</v>
      </c>
      <c r="C328" t="s">
        <v>12</v>
      </c>
      <c r="D328" t="s">
        <v>13</v>
      </c>
      <c r="E328" t="s">
        <v>49</v>
      </c>
      <c r="F328" t="s">
        <v>51</v>
      </c>
      <c r="G328" s="1">
        <v>45737</v>
      </c>
      <c r="H328" s="1">
        <v>45762</v>
      </c>
      <c r="K328" s="1" t="str">
        <f t="shared" si="11"/>
        <v/>
      </c>
      <c r="L328">
        <v>1693</v>
      </c>
      <c r="Q328" t="str">
        <f t="shared" si="10"/>
        <v/>
      </c>
    </row>
    <row r="329" spans="1:17" x14ac:dyDescent="0.2">
      <c r="A329">
        <v>328</v>
      </c>
      <c r="B329" t="s">
        <v>362</v>
      </c>
      <c r="C329" t="s">
        <v>20</v>
      </c>
      <c r="D329" t="s">
        <v>48</v>
      </c>
      <c r="E329" t="s">
        <v>49</v>
      </c>
      <c r="F329" t="s">
        <v>15</v>
      </c>
      <c r="G329" s="1">
        <v>45814</v>
      </c>
      <c r="H329" s="1">
        <v>45822</v>
      </c>
      <c r="I329" s="1">
        <v>45845</v>
      </c>
      <c r="J329" s="1">
        <v>45848</v>
      </c>
      <c r="K329" s="1" t="str">
        <f t="shared" si="11"/>
        <v>Jul-2025</v>
      </c>
      <c r="L329">
        <v>1617</v>
      </c>
      <c r="Q329">
        <f t="shared" si="10"/>
        <v>34</v>
      </c>
    </row>
    <row r="330" spans="1:17" x14ac:dyDescent="0.2">
      <c r="A330">
        <v>329</v>
      </c>
      <c r="B330" t="s">
        <v>363</v>
      </c>
      <c r="C330" t="s">
        <v>12</v>
      </c>
      <c r="D330" t="s">
        <v>38</v>
      </c>
      <c r="E330" t="s">
        <v>14</v>
      </c>
      <c r="F330" t="s">
        <v>43</v>
      </c>
      <c r="G330" s="1">
        <v>45833</v>
      </c>
      <c r="K330" s="1" t="str">
        <f t="shared" si="11"/>
        <v/>
      </c>
      <c r="L330">
        <v>200</v>
      </c>
      <c r="Q330" t="str">
        <f t="shared" si="10"/>
        <v/>
      </c>
    </row>
    <row r="331" spans="1:17" x14ac:dyDescent="0.2">
      <c r="A331">
        <v>330</v>
      </c>
      <c r="B331" t="s">
        <v>364</v>
      </c>
      <c r="C331" t="s">
        <v>35</v>
      </c>
      <c r="D331" t="s">
        <v>38</v>
      </c>
      <c r="E331" t="s">
        <v>14</v>
      </c>
      <c r="F331" t="s">
        <v>15</v>
      </c>
      <c r="G331" s="1">
        <v>45886</v>
      </c>
      <c r="H331" s="1">
        <v>45901</v>
      </c>
      <c r="I331" s="1">
        <v>45914</v>
      </c>
      <c r="J331" s="1">
        <v>45922</v>
      </c>
      <c r="K331" s="1" t="str">
        <f t="shared" si="11"/>
        <v>Sep-2025</v>
      </c>
      <c r="L331">
        <v>1033</v>
      </c>
      <c r="Q331">
        <f t="shared" si="10"/>
        <v>36</v>
      </c>
    </row>
    <row r="332" spans="1:17" x14ac:dyDescent="0.2">
      <c r="A332">
        <v>331</v>
      </c>
      <c r="B332" t="s">
        <v>365</v>
      </c>
      <c r="C332" t="s">
        <v>17</v>
      </c>
      <c r="D332" t="s">
        <v>30</v>
      </c>
      <c r="E332" t="s">
        <v>36</v>
      </c>
      <c r="F332" t="s">
        <v>31</v>
      </c>
      <c r="G332" s="1">
        <v>45931</v>
      </c>
      <c r="H332" s="1">
        <v>45939</v>
      </c>
      <c r="K332" s="1" t="str">
        <f t="shared" si="11"/>
        <v/>
      </c>
      <c r="L332">
        <v>1945</v>
      </c>
      <c r="Q332" t="str">
        <f t="shared" si="10"/>
        <v/>
      </c>
    </row>
    <row r="333" spans="1:17" x14ac:dyDescent="0.2">
      <c r="A333">
        <v>332</v>
      </c>
      <c r="B333" t="s">
        <v>366</v>
      </c>
      <c r="C333" t="s">
        <v>12</v>
      </c>
      <c r="D333" t="s">
        <v>38</v>
      </c>
      <c r="E333" t="s">
        <v>22</v>
      </c>
      <c r="F333" t="s">
        <v>18</v>
      </c>
      <c r="G333" s="1">
        <v>45838</v>
      </c>
      <c r="H333" s="1">
        <v>45845</v>
      </c>
      <c r="K333" s="1" t="str">
        <f t="shared" si="11"/>
        <v/>
      </c>
      <c r="L333">
        <v>530</v>
      </c>
      <c r="Q333" t="str">
        <f t="shared" si="10"/>
        <v/>
      </c>
    </row>
    <row r="334" spans="1:17" x14ac:dyDescent="0.2">
      <c r="A334">
        <v>333</v>
      </c>
      <c r="B334" t="s">
        <v>367</v>
      </c>
      <c r="C334" t="s">
        <v>20</v>
      </c>
      <c r="D334" t="s">
        <v>13</v>
      </c>
      <c r="E334" t="s">
        <v>22</v>
      </c>
      <c r="F334" t="s">
        <v>18</v>
      </c>
      <c r="G334" s="1">
        <v>45870</v>
      </c>
      <c r="H334" s="1">
        <v>45887</v>
      </c>
      <c r="K334" s="1" t="str">
        <f t="shared" si="11"/>
        <v/>
      </c>
      <c r="L334">
        <v>758</v>
      </c>
      <c r="Q334" t="str">
        <f t="shared" si="10"/>
        <v/>
      </c>
    </row>
    <row r="335" spans="1:17" x14ac:dyDescent="0.2">
      <c r="A335">
        <v>334</v>
      </c>
      <c r="B335" t="s">
        <v>368</v>
      </c>
      <c r="C335" t="s">
        <v>46</v>
      </c>
      <c r="D335" t="s">
        <v>38</v>
      </c>
      <c r="E335" t="s">
        <v>14</v>
      </c>
      <c r="F335" t="s">
        <v>23</v>
      </c>
      <c r="G335" s="1">
        <v>45723</v>
      </c>
      <c r="K335" s="1" t="str">
        <f t="shared" si="11"/>
        <v/>
      </c>
      <c r="L335">
        <v>1372</v>
      </c>
      <c r="Q335" t="str">
        <f t="shared" si="10"/>
        <v/>
      </c>
    </row>
    <row r="336" spans="1:17" x14ac:dyDescent="0.2">
      <c r="A336">
        <v>335</v>
      </c>
      <c r="B336" t="s">
        <v>369</v>
      </c>
      <c r="C336" t="s">
        <v>17</v>
      </c>
      <c r="D336" t="s">
        <v>21</v>
      </c>
      <c r="E336" t="s">
        <v>49</v>
      </c>
      <c r="F336" t="s">
        <v>18</v>
      </c>
      <c r="G336" s="1">
        <v>45881</v>
      </c>
      <c r="H336" s="1">
        <v>45888</v>
      </c>
      <c r="K336" s="1" t="str">
        <f t="shared" si="11"/>
        <v/>
      </c>
      <c r="L336">
        <v>1574</v>
      </c>
      <c r="Q336" t="str">
        <f t="shared" si="10"/>
        <v/>
      </c>
    </row>
    <row r="337" spans="1:17" x14ac:dyDescent="0.2">
      <c r="A337">
        <v>336</v>
      </c>
      <c r="B337" t="s">
        <v>370</v>
      </c>
      <c r="C337" t="s">
        <v>25</v>
      </c>
      <c r="D337" t="s">
        <v>26</v>
      </c>
      <c r="E337" t="s">
        <v>14</v>
      </c>
      <c r="F337" t="s">
        <v>51</v>
      </c>
      <c r="G337" s="1">
        <v>45803</v>
      </c>
      <c r="H337" s="1">
        <v>45814</v>
      </c>
      <c r="K337" s="1" t="str">
        <f t="shared" si="11"/>
        <v/>
      </c>
      <c r="L337">
        <v>1763</v>
      </c>
      <c r="Q337" t="str">
        <f t="shared" si="10"/>
        <v/>
      </c>
    </row>
    <row r="338" spans="1:17" x14ac:dyDescent="0.2">
      <c r="A338">
        <v>337</v>
      </c>
      <c r="B338" t="s">
        <v>371</v>
      </c>
      <c r="C338" t="s">
        <v>46</v>
      </c>
      <c r="D338" t="s">
        <v>30</v>
      </c>
      <c r="E338" t="s">
        <v>33</v>
      </c>
      <c r="F338" t="s">
        <v>51</v>
      </c>
      <c r="G338" s="1">
        <v>45766</v>
      </c>
      <c r="H338" s="1">
        <v>45785</v>
      </c>
      <c r="K338" s="1" t="str">
        <f t="shared" si="11"/>
        <v/>
      </c>
      <c r="L338">
        <v>643</v>
      </c>
      <c r="Q338" t="str">
        <f t="shared" si="10"/>
        <v/>
      </c>
    </row>
    <row r="339" spans="1:17" x14ac:dyDescent="0.2">
      <c r="A339">
        <v>338</v>
      </c>
      <c r="B339" t="s">
        <v>372</v>
      </c>
      <c r="C339" t="s">
        <v>12</v>
      </c>
      <c r="D339" t="s">
        <v>30</v>
      </c>
      <c r="E339" t="s">
        <v>33</v>
      </c>
      <c r="F339" t="s">
        <v>31</v>
      </c>
      <c r="G339" s="1">
        <v>45920</v>
      </c>
      <c r="H339" s="1">
        <v>45928</v>
      </c>
      <c r="K339" s="1" t="str">
        <f t="shared" si="11"/>
        <v/>
      </c>
      <c r="L339">
        <v>666</v>
      </c>
      <c r="Q339" t="str">
        <f t="shared" si="10"/>
        <v/>
      </c>
    </row>
    <row r="340" spans="1:17" x14ac:dyDescent="0.2">
      <c r="A340">
        <v>339</v>
      </c>
      <c r="B340" t="s">
        <v>373</v>
      </c>
      <c r="C340" t="s">
        <v>25</v>
      </c>
      <c r="D340" t="s">
        <v>26</v>
      </c>
      <c r="E340" t="s">
        <v>49</v>
      </c>
      <c r="F340" t="s">
        <v>18</v>
      </c>
      <c r="G340" s="1">
        <v>45738</v>
      </c>
      <c r="H340" s="1">
        <v>45763</v>
      </c>
      <c r="K340" s="1" t="str">
        <f t="shared" si="11"/>
        <v/>
      </c>
      <c r="L340">
        <v>752</v>
      </c>
      <c r="Q340" t="str">
        <f t="shared" si="10"/>
        <v/>
      </c>
    </row>
    <row r="341" spans="1:17" x14ac:dyDescent="0.2">
      <c r="A341">
        <v>340</v>
      </c>
      <c r="B341" t="s">
        <v>374</v>
      </c>
      <c r="C341" t="s">
        <v>35</v>
      </c>
      <c r="D341" t="s">
        <v>13</v>
      </c>
      <c r="E341" t="s">
        <v>22</v>
      </c>
      <c r="F341" t="s">
        <v>15</v>
      </c>
      <c r="G341" s="1">
        <v>45867</v>
      </c>
      <c r="H341" s="1">
        <v>45883</v>
      </c>
      <c r="I341" s="1">
        <v>45896</v>
      </c>
      <c r="J341" s="1">
        <v>45904</v>
      </c>
      <c r="K341" s="1" t="str">
        <f t="shared" si="11"/>
        <v>Sep-2025</v>
      </c>
      <c r="L341">
        <v>275</v>
      </c>
      <c r="Q341">
        <f t="shared" si="10"/>
        <v>37</v>
      </c>
    </row>
    <row r="342" spans="1:17" x14ac:dyDescent="0.2">
      <c r="A342">
        <v>341</v>
      </c>
      <c r="B342" t="s">
        <v>375</v>
      </c>
      <c r="C342" t="s">
        <v>20</v>
      </c>
      <c r="D342" t="s">
        <v>38</v>
      </c>
      <c r="E342" t="s">
        <v>36</v>
      </c>
      <c r="F342" t="s">
        <v>18</v>
      </c>
      <c r="G342" s="1">
        <v>45846</v>
      </c>
      <c r="H342" s="1">
        <v>45853</v>
      </c>
      <c r="K342" s="1" t="str">
        <f t="shared" si="11"/>
        <v/>
      </c>
      <c r="L342">
        <v>1207</v>
      </c>
      <c r="Q342" t="str">
        <f t="shared" si="10"/>
        <v/>
      </c>
    </row>
    <row r="343" spans="1:17" x14ac:dyDescent="0.2">
      <c r="A343">
        <v>342</v>
      </c>
      <c r="B343" t="s">
        <v>376</v>
      </c>
      <c r="C343" t="s">
        <v>17</v>
      </c>
      <c r="D343" t="s">
        <v>48</v>
      </c>
      <c r="E343" t="s">
        <v>22</v>
      </c>
      <c r="F343" t="s">
        <v>18</v>
      </c>
      <c r="G343" s="1">
        <v>45825</v>
      </c>
      <c r="H343" s="1">
        <v>45843</v>
      </c>
      <c r="K343" s="1" t="str">
        <f t="shared" si="11"/>
        <v/>
      </c>
      <c r="L343">
        <v>784</v>
      </c>
      <c r="Q343" t="str">
        <f t="shared" si="10"/>
        <v/>
      </c>
    </row>
    <row r="344" spans="1:17" x14ac:dyDescent="0.2">
      <c r="A344">
        <v>343</v>
      </c>
      <c r="B344" t="s">
        <v>377</v>
      </c>
      <c r="C344" t="s">
        <v>20</v>
      </c>
      <c r="D344" t="s">
        <v>48</v>
      </c>
      <c r="E344" t="s">
        <v>33</v>
      </c>
      <c r="F344" t="s">
        <v>27</v>
      </c>
      <c r="G344" s="1">
        <v>45662</v>
      </c>
      <c r="H344" s="1">
        <v>45667</v>
      </c>
      <c r="I344" s="1">
        <v>45683</v>
      </c>
      <c r="K344" s="1" t="str">
        <f t="shared" si="11"/>
        <v/>
      </c>
      <c r="L344">
        <v>1132</v>
      </c>
      <c r="Q344" t="str">
        <f t="shared" si="10"/>
        <v/>
      </c>
    </row>
    <row r="345" spans="1:17" x14ac:dyDescent="0.2">
      <c r="A345">
        <v>344</v>
      </c>
      <c r="B345" t="s">
        <v>378</v>
      </c>
      <c r="C345" t="s">
        <v>20</v>
      </c>
      <c r="D345" t="s">
        <v>38</v>
      </c>
      <c r="E345" t="s">
        <v>49</v>
      </c>
      <c r="F345" t="s">
        <v>18</v>
      </c>
      <c r="G345" s="1">
        <v>45876</v>
      </c>
      <c r="H345" s="1">
        <v>45891</v>
      </c>
      <c r="K345" s="1" t="str">
        <f t="shared" si="11"/>
        <v/>
      </c>
      <c r="L345">
        <v>854</v>
      </c>
      <c r="Q345" t="str">
        <f t="shared" si="10"/>
        <v/>
      </c>
    </row>
    <row r="346" spans="1:17" x14ac:dyDescent="0.2">
      <c r="A346">
        <v>345</v>
      </c>
      <c r="B346" t="s">
        <v>379</v>
      </c>
      <c r="C346" t="s">
        <v>46</v>
      </c>
      <c r="D346" t="s">
        <v>21</v>
      </c>
      <c r="E346" t="s">
        <v>22</v>
      </c>
      <c r="F346" t="s">
        <v>31</v>
      </c>
      <c r="G346" s="1">
        <v>45658</v>
      </c>
      <c r="H346" s="1">
        <v>45674</v>
      </c>
      <c r="K346" s="1" t="str">
        <f t="shared" si="11"/>
        <v/>
      </c>
      <c r="L346">
        <v>243</v>
      </c>
      <c r="Q346" t="str">
        <f t="shared" si="10"/>
        <v/>
      </c>
    </row>
    <row r="347" spans="1:17" x14ac:dyDescent="0.2">
      <c r="A347">
        <v>346</v>
      </c>
      <c r="B347" t="s">
        <v>380</v>
      </c>
      <c r="C347" t="s">
        <v>25</v>
      </c>
      <c r="D347" t="s">
        <v>13</v>
      </c>
      <c r="E347" t="s">
        <v>33</v>
      </c>
      <c r="F347" t="s">
        <v>43</v>
      </c>
      <c r="G347" s="1">
        <v>45911</v>
      </c>
      <c r="K347" s="1" t="str">
        <f t="shared" si="11"/>
        <v/>
      </c>
      <c r="L347">
        <v>1238</v>
      </c>
      <c r="Q347" t="str">
        <f t="shared" si="10"/>
        <v/>
      </c>
    </row>
    <row r="348" spans="1:17" x14ac:dyDescent="0.2">
      <c r="A348">
        <v>347</v>
      </c>
      <c r="B348" t="s">
        <v>381</v>
      </c>
      <c r="C348" t="s">
        <v>25</v>
      </c>
      <c r="D348" t="s">
        <v>38</v>
      </c>
      <c r="E348" t="s">
        <v>33</v>
      </c>
      <c r="F348" t="s">
        <v>51</v>
      </c>
      <c r="G348" s="1">
        <v>45764</v>
      </c>
      <c r="H348" s="1">
        <v>45776</v>
      </c>
      <c r="K348" s="1" t="str">
        <f t="shared" si="11"/>
        <v/>
      </c>
      <c r="L348">
        <v>814</v>
      </c>
      <c r="Q348" t="str">
        <f t="shared" si="10"/>
        <v/>
      </c>
    </row>
    <row r="349" spans="1:17" x14ac:dyDescent="0.2">
      <c r="A349">
        <v>348</v>
      </c>
      <c r="B349" t="s">
        <v>382</v>
      </c>
      <c r="C349" t="s">
        <v>35</v>
      </c>
      <c r="D349" t="s">
        <v>48</v>
      </c>
      <c r="E349" t="s">
        <v>49</v>
      </c>
      <c r="F349" t="s">
        <v>23</v>
      </c>
      <c r="G349" s="1">
        <v>45787</v>
      </c>
      <c r="K349" s="1" t="str">
        <f t="shared" si="11"/>
        <v/>
      </c>
      <c r="L349">
        <v>216</v>
      </c>
      <c r="Q349" t="str">
        <f t="shared" si="10"/>
        <v/>
      </c>
    </row>
    <row r="350" spans="1:17" x14ac:dyDescent="0.2">
      <c r="A350">
        <v>349</v>
      </c>
      <c r="B350" t="s">
        <v>383</v>
      </c>
      <c r="C350" t="s">
        <v>25</v>
      </c>
      <c r="D350" t="s">
        <v>30</v>
      </c>
      <c r="E350" t="s">
        <v>22</v>
      </c>
      <c r="F350" t="s">
        <v>15</v>
      </c>
      <c r="G350" s="1">
        <v>45795</v>
      </c>
      <c r="H350" s="1">
        <v>45807</v>
      </c>
      <c r="I350" s="1">
        <v>45821</v>
      </c>
      <c r="J350" s="1">
        <v>45824</v>
      </c>
      <c r="K350" s="1" t="str">
        <f t="shared" si="11"/>
        <v>Jun-2025</v>
      </c>
      <c r="L350">
        <v>573</v>
      </c>
      <c r="Q350">
        <f t="shared" si="10"/>
        <v>29</v>
      </c>
    </row>
    <row r="351" spans="1:17" x14ac:dyDescent="0.2">
      <c r="A351">
        <v>350</v>
      </c>
      <c r="B351" t="s">
        <v>384</v>
      </c>
      <c r="C351" t="s">
        <v>20</v>
      </c>
      <c r="D351" t="s">
        <v>13</v>
      </c>
      <c r="E351" t="s">
        <v>22</v>
      </c>
      <c r="F351" t="s">
        <v>15</v>
      </c>
      <c r="G351" s="1">
        <v>45692</v>
      </c>
      <c r="H351" s="1">
        <v>45707</v>
      </c>
      <c r="I351" s="1">
        <v>45720</v>
      </c>
      <c r="J351" s="1">
        <v>45728</v>
      </c>
      <c r="K351" s="1" t="str">
        <f t="shared" si="11"/>
        <v>Mar-2025</v>
      </c>
      <c r="L351">
        <v>1329</v>
      </c>
      <c r="Q351">
        <f t="shared" si="10"/>
        <v>36</v>
      </c>
    </row>
    <row r="352" spans="1:17" x14ac:dyDescent="0.2">
      <c r="A352">
        <v>351</v>
      </c>
      <c r="B352" t="s">
        <v>385</v>
      </c>
      <c r="C352" t="s">
        <v>25</v>
      </c>
      <c r="D352" t="s">
        <v>38</v>
      </c>
      <c r="E352" t="s">
        <v>49</v>
      </c>
      <c r="F352" t="s">
        <v>51</v>
      </c>
      <c r="G352" s="1">
        <v>45872</v>
      </c>
      <c r="H352" s="1">
        <v>45888</v>
      </c>
      <c r="K352" s="1" t="str">
        <f t="shared" si="11"/>
        <v/>
      </c>
      <c r="L352">
        <v>1936</v>
      </c>
      <c r="Q352" t="str">
        <f t="shared" si="10"/>
        <v/>
      </c>
    </row>
    <row r="353" spans="1:17" x14ac:dyDescent="0.2">
      <c r="A353">
        <v>352</v>
      </c>
      <c r="B353" t="s">
        <v>386</v>
      </c>
      <c r="C353" t="s">
        <v>12</v>
      </c>
      <c r="D353" t="s">
        <v>48</v>
      </c>
      <c r="E353" t="s">
        <v>33</v>
      </c>
      <c r="F353" t="s">
        <v>43</v>
      </c>
      <c r="G353" s="1">
        <v>45927</v>
      </c>
      <c r="K353" s="1" t="str">
        <f t="shared" si="11"/>
        <v/>
      </c>
      <c r="L353">
        <v>465</v>
      </c>
      <c r="Q353" t="str">
        <f t="shared" si="10"/>
        <v/>
      </c>
    </row>
    <row r="354" spans="1:17" x14ac:dyDescent="0.2">
      <c r="A354">
        <v>353</v>
      </c>
      <c r="B354" t="s">
        <v>387</v>
      </c>
      <c r="C354" t="s">
        <v>20</v>
      </c>
      <c r="D354" t="s">
        <v>13</v>
      </c>
      <c r="E354" t="s">
        <v>14</v>
      </c>
      <c r="F354" t="s">
        <v>27</v>
      </c>
      <c r="G354" s="1">
        <v>45926</v>
      </c>
      <c r="H354" s="1">
        <v>45933</v>
      </c>
      <c r="I354" s="1">
        <v>45961</v>
      </c>
      <c r="K354" s="1" t="str">
        <f t="shared" si="11"/>
        <v/>
      </c>
      <c r="L354">
        <v>1739</v>
      </c>
      <c r="Q354" t="str">
        <f t="shared" si="10"/>
        <v/>
      </c>
    </row>
    <row r="355" spans="1:17" x14ac:dyDescent="0.2">
      <c r="A355">
        <v>354</v>
      </c>
      <c r="B355" t="s">
        <v>388</v>
      </c>
      <c r="C355" t="s">
        <v>46</v>
      </c>
      <c r="D355" t="s">
        <v>13</v>
      </c>
      <c r="E355" t="s">
        <v>36</v>
      </c>
      <c r="F355" t="s">
        <v>23</v>
      </c>
      <c r="G355" s="1">
        <v>45893</v>
      </c>
      <c r="K355" s="1" t="str">
        <f t="shared" si="11"/>
        <v/>
      </c>
      <c r="L355">
        <v>1249</v>
      </c>
      <c r="Q355" t="str">
        <f t="shared" si="10"/>
        <v/>
      </c>
    </row>
    <row r="356" spans="1:17" x14ac:dyDescent="0.2">
      <c r="A356">
        <v>355</v>
      </c>
      <c r="B356" t="s">
        <v>389</v>
      </c>
      <c r="C356" t="s">
        <v>17</v>
      </c>
      <c r="D356" t="s">
        <v>38</v>
      </c>
      <c r="E356" t="s">
        <v>22</v>
      </c>
      <c r="F356" t="s">
        <v>23</v>
      </c>
      <c r="G356" s="1">
        <v>45879</v>
      </c>
      <c r="K356" s="1" t="str">
        <f t="shared" si="11"/>
        <v/>
      </c>
      <c r="L356">
        <v>1665</v>
      </c>
      <c r="Q356" t="str">
        <f t="shared" si="10"/>
        <v/>
      </c>
    </row>
    <row r="357" spans="1:17" x14ac:dyDescent="0.2">
      <c r="A357">
        <v>356</v>
      </c>
      <c r="B357" t="s">
        <v>390</v>
      </c>
      <c r="C357" t="s">
        <v>35</v>
      </c>
      <c r="D357" t="s">
        <v>30</v>
      </c>
      <c r="E357" t="s">
        <v>49</v>
      </c>
      <c r="F357" t="s">
        <v>43</v>
      </c>
      <c r="G357" s="1">
        <v>45836</v>
      </c>
      <c r="K357" s="1" t="str">
        <f t="shared" si="11"/>
        <v/>
      </c>
      <c r="L357">
        <v>1537</v>
      </c>
      <c r="Q357" t="str">
        <f t="shared" si="10"/>
        <v/>
      </c>
    </row>
    <row r="358" spans="1:17" x14ac:dyDescent="0.2">
      <c r="A358">
        <v>357</v>
      </c>
      <c r="B358" t="s">
        <v>391</v>
      </c>
      <c r="C358" t="s">
        <v>35</v>
      </c>
      <c r="D358" t="s">
        <v>13</v>
      </c>
      <c r="E358" t="s">
        <v>22</v>
      </c>
      <c r="F358" t="s">
        <v>23</v>
      </c>
      <c r="G358" s="1">
        <v>45810</v>
      </c>
      <c r="K358" s="1" t="str">
        <f t="shared" si="11"/>
        <v/>
      </c>
      <c r="L358">
        <v>552</v>
      </c>
      <c r="Q358" t="str">
        <f t="shared" si="10"/>
        <v/>
      </c>
    </row>
    <row r="359" spans="1:17" x14ac:dyDescent="0.2">
      <c r="A359">
        <v>358</v>
      </c>
      <c r="B359" t="s">
        <v>392</v>
      </c>
      <c r="C359" t="s">
        <v>25</v>
      </c>
      <c r="D359" t="s">
        <v>48</v>
      </c>
      <c r="E359" t="s">
        <v>14</v>
      </c>
      <c r="F359" t="s">
        <v>43</v>
      </c>
      <c r="G359" s="1">
        <v>45823</v>
      </c>
      <c r="K359" s="1" t="str">
        <f t="shared" si="11"/>
        <v/>
      </c>
      <c r="L359">
        <v>1688</v>
      </c>
      <c r="Q359" t="str">
        <f t="shared" si="10"/>
        <v/>
      </c>
    </row>
    <row r="360" spans="1:17" x14ac:dyDescent="0.2">
      <c r="A360">
        <v>359</v>
      </c>
      <c r="B360" t="s">
        <v>393</v>
      </c>
      <c r="C360" t="s">
        <v>17</v>
      </c>
      <c r="D360" t="s">
        <v>26</v>
      </c>
      <c r="E360" t="s">
        <v>36</v>
      </c>
      <c r="F360" t="s">
        <v>27</v>
      </c>
      <c r="G360" s="1">
        <v>45701</v>
      </c>
      <c r="H360" s="1">
        <v>45716</v>
      </c>
      <c r="I360" s="1">
        <v>45727</v>
      </c>
      <c r="K360" s="1" t="str">
        <f t="shared" si="11"/>
        <v/>
      </c>
      <c r="L360">
        <v>433</v>
      </c>
      <c r="Q360" t="str">
        <f t="shared" si="10"/>
        <v/>
      </c>
    </row>
    <row r="361" spans="1:17" x14ac:dyDescent="0.2">
      <c r="A361">
        <v>360</v>
      </c>
      <c r="B361" t="s">
        <v>394</v>
      </c>
      <c r="C361" t="s">
        <v>46</v>
      </c>
      <c r="D361" t="s">
        <v>21</v>
      </c>
      <c r="E361" t="s">
        <v>14</v>
      </c>
      <c r="F361" t="s">
        <v>15</v>
      </c>
      <c r="G361" s="1">
        <v>45947</v>
      </c>
      <c r="H361" s="1">
        <v>45972</v>
      </c>
      <c r="I361" s="1">
        <v>45978</v>
      </c>
      <c r="J361" s="1">
        <v>45986</v>
      </c>
      <c r="K361" s="1" t="str">
        <f t="shared" si="11"/>
        <v>Nov-2025</v>
      </c>
      <c r="L361">
        <v>1169</v>
      </c>
      <c r="Q361">
        <f t="shared" si="10"/>
        <v>39</v>
      </c>
    </row>
    <row r="362" spans="1:17" x14ac:dyDescent="0.2">
      <c r="A362">
        <v>361</v>
      </c>
      <c r="B362" t="s">
        <v>395</v>
      </c>
      <c r="C362" t="s">
        <v>46</v>
      </c>
      <c r="D362" t="s">
        <v>48</v>
      </c>
      <c r="E362" t="s">
        <v>14</v>
      </c>
      <c r="F362" t="s">
        <v>18</v>
      </c>
      <c r="G362" s="1">
        <v>45822</v>
      </c>
      <c r="H362" s="1">
        <v>45833</v>
      </c>
      <c r="K362" s="1" t="str">
        <f t="shared" si="11"/>
        <v/>
      </c>
      <c r="L362">
        <v>889</v>
      </c>
      <c r="Q362" t="str">
        <f t="shared" si="10"/>
        <v/>
      </c>
    </row>
    <row r="363" spans="1:17" x14ac:dyDescent="0.2">
      <c r="A363">
        <v>362</v>
      </c>
      <c r="B363" t="s">
        <v>396</v>
      </c>
      <c r="C363" t="s">
        <v>46</v>
      </c>
      <c r="D363" t="s">
        <v>26</v>
      </c>
      <c r="E363" t="s">
        <v>22</v>
      </c>
      <c r="F363" t="s">
        <v>31</v>
      </c>
      <c r="G363" s="1">
        <v>45948</v>
      </c>
      <c r="H363" s="1">
        <v>45970</v>
      </c>
      <c r="K363" s="1" t="str">
        <f t="shared" si="11"/>
        <v/>
      </c>
      <c r="L363">
        <v>1662</v>
      </c>
      <c r="Q363" t="str">
        <f t="shared" si="10"/>
        <v/>
      </c>
    </row>
    <row r="364" spans="1:17" x14ac:dyDescent="0.2">
      <c r="A364">
        <v>363</v>
      </c>
      <c r="B364" t="s">
        <v>397</v>
      </c>
      <c r="C364" t="s">
        <v>17</v>
      </c>
      <c r="D364" t="s">
        <v>21</v>
      </c>
      <c r="E364" t="s">
        <v>14</v>
      </c>
      <c r="F364" t="s">
        <v>31</v>
      </c>
      <c r="G364" s="1">
        <v>45742</v>
      </c>
      <c r="H364" s="1">
        <v>45759</v>
      </c>
      <c r="K364" s="1" t="str">
        <f t="shared" si="11"/>
        <v/>
      </c>
      <c r="L364">
        <v>1919</v>
      </c>
      <c r="Q364" t="str">
        <f t="shared" si="10"/>
        <v/>
      </c>
    </row>
    <row r="365" spans="1:17" x14ac:dyDescent="0.2">
      <c r="A365">
        <v>364</v>
      </c>
      <c r="B365" t="s">
        <v>398</v>
      </c>
      <c r="C365" t="s">
        <v>35</v>
      </c>
      <c r="D365" t="s">
        <v>30</v>
      </c>
      <c r="E365" t="s">
        <v>36</v>
      </c>
      <c r="F365" t="s">
        <v>31</v>
      </c>
      <c r="G365" s="1">
        <v>45814</v>
      </c>
      <c r="H365" s="1">
        <v>45831</v>
      </c>
      <c r="K365" s="1" t="str">
        <f t="shared" si="11"/>
        <v/>
      </c>
      <c r="L365">
        <v>634</v>
      </c>
      <c r="Q365" t="str">
        <f t="shared" si="10"/>
        <v/>
      </c>
    </row>
    <row r="366" spans="1:17" x14ac:dyDescent="0.2">
      <c r="A366">
        <v>365</v>
      </c>
      <c r="B366" t="s">
        <v>399</v>
      </c>
      <c r="C366" t="s">
        <v>46</v>
      </c>
      <c r="D366" t="s">
        <v>26</v>
      </c>
      <c r="E366" t="s">
        <v>33</v>
      </c>
      <c r="F366" t="s">
        <v>23</v>
      </c>
      <c r="G366" s="1">
        <v>45680</v>
      </c>
      <c r="K366" s="1" t="str">
        <f t="shared" si="11"/>
        <v/>
      </c>
      <c r="L366">
        <v>254</v>
      </c>
      <c r="Q366" t="str">
        <f t="shared" si="10"/>
        <v/>
      </c>
    </row>
    <row r="367" spans="1:17" x14ac:dyDescent="0.2">
      <c r="A367">
        <v>366</v>
      </c>
      <c r="B367" t="s">
        <v>400</v>
      </c>
      <c r="C367" t="s">
        <v>20</v>
      </c>
      <c r="D367" t="s">
        <v>48</v>
      </c>
      <c r="E367" t="s">
        <v>36</v>
      </c>
      <c r="F367" t="s">
        <v>18</v>
      </c>
      <c r="G367" s="1">
        <v>45660</v>
      </c>
      <c r="H367" s="1">
        <v>45675</v>
      </c>
      <c r="K367" s="1" t="str">
        <f t="shared" si="11"/>
        <v/>
      </c>
      <c r="L367">
        <v>913</v>
      </c>
      <c r="Q367" t="str">
        <f t="shared" si="10"/>
        <v/>
      </c>
    </row>
    <row r="368" spans="1:17" x14ac:dyDescent="0.2">
      <c r="A368">
        <v>367</v>
      </c>
      <c r="B368" t="s">
        <v>401</v>
      </c>
      <c r="C368" t="s">
        <v>20</v>
      </c>
      <c r="D368" t="s">
        <v>30</v>
      </c>
      <c r="E368" t="s">
        <v>22</v>
      </c>
      <c r="F368" t="s">
        <v>43</v>
      </c>
      <c r="G368" s="1">
        <v>45837</v>
      </c>
      <c r="K368" s="1" t="str">
        <f t="shared" si="11"/>
        <v/>
      </c>
      <c r="L368">
        <v>279</v>
      </c>
      <c r="Q368" t="str">
        <f t="shared" si="10"/>
        <v/>
      </c>
    </row>
    <row r="369" spans="1:17" x14ac:dyDescent="0.2">
      <c r="A369">
        <v>368</v>
      </c>
      <c r="B369" t="s">
        <v>402</v>
      </c>
      <c r="C369" t="s">
        <v>12</v>
      </c>
      <c r="D369" t="s">
        <v>26</v>
      </c>
      <c r="E369" t="s">
        <v>36</v>
      </c>
      <c r="F369" t="s">
        <v>27</v>
      </c>
      <c r="G369" s="1">
        <v>45659</v>
      </c>
      <c r="H369" s="1">
        <v>45672</v>
      </c>
      <c r="I369" s="1">
        <v>45680</v>
      </c>
      <c r="K369" s="1" t="str">
        <f t="shared" si="11"/>
        <v/>
      </c>
      <c r="L369">
        <v>1985</v>
      </c>
      <c r="Q369" t="str">
        <f t="shared" si="10"/>
        <v/>
      </c>
    </row>
    <row r="370" spans="1:17" x14ac:dyDescent="0.2">
      <c r="A370">
        <v>369</v>
      </c>
      <c r="B370" t="s">
        <v>403</v>
      </c>
      <c r="C370" t="s">
        <v>12</v>
      </c>
      <c r="D370" t="s">
        <v>26</v>
      </c>
      <c r="E370" t="s">
        <v>49</v>
      </c>
      <c r="F370" t="s">
        <v>31</v>
      </c>
      <c r="G370" s="1">
        <v>45673</v>
      </c>
      <c r="H370" s="1">
        <v>45685</v>
      </c>
      <c r="K370" s="1" t="str">
        <f t="shared" si="11"/>
        <v/>
      </c>
      <c r="L370">
        <v>1085</v>
      </c>
      <c r="Q370" t="str">
        <f t="shared" si="10"/>
        <v/>
      </c>
    </row>
    <row r="371" spans="1:17" x14ac:dyDescent="0.2">
      <c r="A371">
        <v>370</v>
      </c>
      <c r="B371" t="s">
        <v>404</v>
      </c>
      <c r="C371" t="s">
        <v>46</v>
      </c>
      <c r="D371" t="s">
        <v>38</v>
      </c>
      <c r="E371" t="s">
        <v>49</v>
      </c>
      <c r="F371" t="s">
        <v>51</v>
      </c>
      <c r="G371" s="1">
        <v>45840</v>
      </c>
      <c r="H371" s="1">
        <v>45845</v>
      </c>
      <c r="K371" s="1" t="str">
        <f t="shared" si="11"/>
        <v/>
      </c>
      <c r="L371">
        <v>1645</v>
      </c>
      <c r="Q371" t="str">
        <f t="shared" si="10"/>
        <v/>
      </c>
    </row>
    <row r="372" spans="1:17" x14ac:dyDescent="0.2">
      <c r="A372">
        <v>371</v>
      </c>
      <c r="B372" t="s">
        <v>405</v>
      </c>
      <c r="C372" t="s">
        <v>25</v>
      </c>
      <c r="D372" t="s">
        <v>48</v>
      </c>
      <c r="E372" t="s">
        <v>33</v>
      </c>
      <c r="F372" t="s">
        <v>23</v>
      </c>
      <c r="G372" s="1">
        <v>45791</v>
      </c>
      <c r="K372" s="1" t="str">
        <f t="shared" si="11"/>
        <v/>
      </c>
      <c r="L372">
        <v>1240</v>
      </c>
      <c r="Q372" t="str">
        <f t="shared" si="10"/>
        <v/>
      </c>
    </row>
    <row r="373" spans="1:17" x14ac:dyDescent="0.2">
      <c r="A373">
        <v>372</v>
      </c>
      <c r="B373" t="s">
        <v>406</v>
      </c>
      <c r="C373" t="s">
        <v>25</v>
      </c>
      <c r="D373" t="s">
        <v>26</v>
      </c>
      <c r="E373" t="s">
        <v>36</v>
      </c>
      <c r="F373" t="s">
        <v>18</v>
      </c>
      <c r="G373" s="1">
        <v>45673</v>
      </c>
      <c r="H373" s="1">
        <v>45686</v>
      </c>
      <c r="K373" s="1" t="str">
        <f t="shared" si="11"/>
        <v/>
      </c>
      <c r="L373">
        <v>1784</v>
      </c>
      <c r="Q373" t="str">
        <f t="shared" si="10"/>
        <v/>
      </c>
    </row>
    <row r="374" spans="1:17" x14ac:dyDescent="0.2">
      <c r="A374">
        <v>373</v>
      </c>
      <c r="B374" t="s">
        <v>407</v>
      </c>
      <c r="C374" t="s">
        <v>25</v>
      </c>
      <c r="D374" t="s">
        <v>26</v>
      </c>
      <c r="E374" t="s">
        <v>49</v>
      </c>
      <c r="F374" t="s">
        <v>18</v>
      </c>
      <c r="G374" s="1">
        <v>45886</v>
      </c>
      <c r="H374" s="1">
        <v>45892</v>
      </c>
      <c r="K374" s="1" t="str">
        <f t="shared" si="11"/>
        <v/>
      </c>
      <c r="L374">
        <v>490</v>
      </c>
      <c r="Q374" t="str">
        <f t="shared" si="10"/>
        <v/>
      </c>
    </row>
    <row r="375" spans="1:17" x14ac:dyDescent="0.2">
      <c r="A375">
        <v>374</v>
      </c>
      <c r="B375" t="s">
        <v>408</v>
      </c>
      <c r="C375" t="s">
        <v>25</v>
      </c>
      <c r="D375" t="s">
        <v>30</v>
      </c>
      <c r="E375" t="s">
        <v>33</v>
      </c>
      <c r="F375" t="s">
        <v>51</v>
      </c>
      <c r="G375" s="1">
        <v>45683</v>
      </c>
      <c r="H375" s="1">
        <v>45688</v>
      </c>
      <c r="K375" s="1" t="str">
        <f t="shared" si="11"/>
        <v/>
      </c>
      <c r="L375">
        <v>995</v>
      </c>
      <c r="Q375" t="str">
        <f t="shared" si="10"/>
        <v/>
      </c>
    </row>
    <row r="376" spans="1:17" x14ac:dyDescent="0.2">
      <c r="A376">
        <v>375</v>
      </c>
      <c r="B376" t="s">
        <v>409</v>
      </c>
      <c r="C376" t="s">
        <v>35</v>
      </c>
      <c r="D376" t="s">
        <v>48</v>
      </c>
      <c r="E376" t="s">
        <v>22</v>
      </c>
      <c r="F376" t="s">
        <v>31</v>
      </c>
      <c r="G376" s="1">
        <v>45868</v>
      </c>
      <c r="H376" s="1">
        <v>45876</v>
      </c>
      <c r="K376" s="1" t="str">
        <f t="shared" si="11"/>
        <v/>
      </c>
      <c r="L376">
        <v>605</v>
      </c>
      <c r="Q376" t="str">
        <f t="shared" si="10"/>
        <v/>
      </c>
    </row>
    <row r="377" spans="1:17" x14ac:dyDescent="0.2">
      <c r="A377">
        <v>376</v>
      </c>
      <c r="B377" t="s">
        <v>410</v>
      </c>
      <c r="C377" t="s">
        <v>35</v>
      </c>
      <c r="D377" t="s">
        <v>48</v>
      </c>
      <c r="E377" t="s">
        <v>49</v>
      </c>
      <c r="F377" t="s">
        <v>18</v>
      </c>
      <c r="G377" s="1">
        <v>45675</v>
      </c>
      <c r="H377" s="1">
        <v>45699</v>
      </c>
      <c r="K377" s="1" t="str">
        <f t="shared" si="11"/>
        <v/>
      </c>
      <c r="L377">
        <v>1838</v>
      </c>
      <c r="Q377" t="str">
        <f t="shared" si="10"/>
        <v/>
      </c>
    </row>
    <row r="378" spans="1:17" x14ac:dyDescent="0.2">
      <c r="A378">
        <v>377</v>
      </c>
      <c r="B378" t="s">
        <v>411</v>
      </c>
      <c r="C378" t="s">
        <v>12</v>
      </c>
      <c r="D378" t="s">
        <v>13</v>
      </c>
      <c r="E378" t="s">
        <v>36</v>
      </c>
      <c r="F378" t="s">
        <v>43</v>
      </c>
      <c r="G378" s="1">
        <v>45789</v>
      </c>
      <c r="K378" s="1" t="str">
        <f t="shared" si="11"/>
        <v/>
      </c>
      <c r="L378">
        <v>1064</v>
      </c>
      <c r="Q378" t="str">
        <f t="shared" si="10"/>
        <v/>
      </c>
    </row>
    <row r="379" spans="1:17" x14ac:dyDescent="0.2">
      <c r="A379">
        <v>378</v>
      </c>
      <c r="B379" t="s">
        <v>412</v>
      </c>
      <c r="C379" t="s">
        <v>17</v>
      </c>
      <c r="D379" t="s">
        <v>21</v>
      </c>
      <c r="E379" t="s">
        <v>22</v>
      </c>
      <c r="F379" t="s">
        <v>18</v>
      </c>
      <c r="G379" s="1">
        <v>45921</v>
      </c>
      <c r="H379" s="1">
        <v>45944</v>
      </c>
      <c r="K379" s="1" t="str">
        <f t="shared" si="11"/>
        <v/>
      </c>
      <c r="L379">
        <v>1522</v>
      </c>
      <c r="Q379" t="str">
        <f t="shared" si="10"/>
        <v/>
      </c>
    </row>
    <row r="380" spans="1:17" x14ac:dyDescent="0.2">
      <c r="A380">
        <v>379</v>
      </c>
      <c r="B380" t="s">
        <v>413</v>
      </c>
      <c r="C380" t="s">
        <v>20</v>
      </c>
      <c r="D380" t="s">
        <v>26</v>
      </c>
      <c r="E380" t="s">
        <v>49</v>
      </c>
      <c r="F380" t="s">
        <v>51</v>
      </c>
      <c r="G380" s="1">
        <v>45852</v>
      </c>
      <c r="H380" s="1">
        <v>45867</v>
      </c>
      <c r="K380" s="1" t="str">
        <f t="shared" si="11"/>
        <v/>
      </c>
      <c r="L380">
        <v>1041</v>
      </c>
      <c r="Q380" t="str">
        <f t="shared" si="10"/>
        <v/>
      </c>
    </row>
    <row r="381" spans="1:17" x14ac:dyDescent="0.2">
      <c r="A381">
        <v>380</v>
      </c>
      <c r="B381" t="s">
        <v>414</v>
      </c>
      <c r="C381" t="s">
        <v>20</v>
      </c>
      <c r="D381" t="s">
        <v>26</v>
      </c>
      <c r="E381" t="s">
        <v>14</v>
      </c>
      <c r="F381" t="s">
        <v>27</v>
      </c>
      <c r="G381" s="1">
        <v>45932</v>
      </c>
      <c r="H381" s="1">
        <v>45937</v>
      </c>
      <c r="I381" s="1">
        <v>45959</v>
      </c>
      <c r="K381" s="1" t="str">
        <f t="shared" si="11"/>
        <v/>
      </c>
      <c r="L381">
        <v>1863</v>
      </c>
      <c r="Q381" t="str">
        <f t="shared" si="10"/>
        <v/>
      </c>
    </row>
    <row r="382" spans="1:17" x14ac:dyDescent="0.2">
      <c r="A382">
        <v>381</v>
      </c>
      <c r="B382" t="s">
        <v>415</v>
      </c>
      <c r="C382" t="s">
        <v>20</v>
      </c>
      <c r="D382" t="s">
        <v>30</v>
      </c>
      <c r="E382" t="s">
        <v>14</v>
      </c>
      <c r="F382" t="s">
        <v>18</v>
      </c>
      <c r="G382" s="1">
        <v>45691</v>
      </c>
      <c r="H382" s="1">
        <v>45701</v>
      </c>
      <c r="K382" s="1" t="str">
        <f t="shared" si="11"/>
        <v/>
      </c>
      <c r="L382">
        <v>1598</v>
      </c>
      <c r="Q382" t="str">
        <f t="shared" si="10"/>
        <v/>
      </c>
    </row>
    <row r="383" spans="1:17" x14ac:dyDescent="0.2">
      <c r="A383">
        <v>382</v>
      </c>
      <c r="B383" t="s">
        <v>416</v>
      </c>
      <c r="C383" t="s">
        <v>12</v>
      </c>
      <c r="D383" t="s">
        <v>38</v>
      </c>
      <c r="E383" t="s">
        <v>22</v>
      </c>
      <c r="F383" t="s">
        <v>23</v>
      </c>
      <c r="G383" s="1">
        <v>45748</v>
      </c>
      <c r="K383" s="1" t="str">
        <f t="shared" si="11"/>
        <v/>
      </c>
      <c r="L383">
        <v>819</v>
      </c>
      <c r="Q383" t="str">
        <f t="shared" si="10"/>
        <v/>
      </c>
    </row>
    <row r="384" spans="1:17" x14ac:dyDescent="0.2">
      <c r="A384">
        <v>383</v>
      </c>
      <c r="B384" t="s">
        <v>417</v>
      </c>
      <c r="C384" t="s">
        <v>12</v>
      </c>
      <c r="D384" t="s">
        <v>13</v>
      </c>
      <c r="E384" t="s">
        <v>36</v>
      </c>
      <c r="F384" t="s">
        <v>31</v>
      </c>
      <c r="G384" s="1">
        <v>45702</v>
      </c>
      <c r="H384" s="1">
        <v>45710</v>
      </c>
      <c r="K384" s="1" t="str">
        <f t="shared" si="11"/>
        <v/>
      </c>
      <c r="L384">
        <v>564</v>
      </c>
      <c r="Q384" t="str">
        <f t="shared" si="10"/>
        <v/>
      </c>
    </row>
    <row r="385" spans="1:17" x14ac:dyDescent="0.2">
      <c r="A385">
        <v>384</v>
      </c>
      <c r="B385" t="s">
        <v>418</v>
      </c>
      <c r="C385" t="s">
        <v>17</v>
      </c>
      <c r="D385" t="s">
        <v>21</v>
      </c>
      <c r="E385" t="s">
        <v>33</v>
      </c>
      <c r="F385" t="s">
        <v>27</v>
      </c>
      <c r="G385" s="1">
        <v>45674</v>
      </c>
      <c r="H385" s="1">
        <v>45694</v>
      </c>
      <c r="I385" s="1">
        <v>45708</v>
      </c>
      <c r="K385" s="1" t="str">
        <f t="shared" si="11"/>
        <v/>
      </c>
      <c r="L385">
        <v>223</v>
      </c>
      <c r="Q385" t="str">
        <f t="shared" si="10"/>
        <v/>
      </c>
    </row>
    <row r="386" spans="1:17" x14ac:dyDescent="0.2">
      <c r="A386">
        <v>385</v>
      </c>
      <c r="B386" t="s">
        <v>419</v>
      </c>
      <c r="C386" t="s">
        <v>35</v>
      </c>
      <c r="D386" t="s">
        <v>38</v>
      </c>
      <c r="E386" t="s">
        <v>22</v>
      </c>
      <c r="F386" t="s">
        <v>43</v>
      </c>
      <c r="G386" s="1">
        <v>45912</v>
      </c>
      <c r="K386" s="1" t="str">
        <f t="shared" si="11"/>
        <v/>
      </c>
      <c r="L386">
        <v>843</v>
      </c>
      <c r="Q386" t="str">
        <f t="shared" ref="Q386:Q449" si="12">IF(J386="","",J386-G386)</f>
        <v/>
      </c>
    </row>
    <row r="387" spans="1:17" x14ac:dyDescent="0.2">
      <c r="A387">
        <v>386</v>
      </c>
      <c r="B387" t="s">
        <v>420</v>
      </c>
      <c r="C387" t="s">
        <v>35</v>
      </c>
      <c r="D387" t="s">
        <v>13</v>
      </c>
      <c r="E387" t="s">
        <v>14</v>
      </c>
      <c r="F387" t="s">
        <v>27</v>
      </c>
      <c r="G387" s="1">
        <v>45708</v>
      </c>
      <c r="H387" s="1">
        <v>45729</v>
      </c>
      <c r="I387" s="1">
        <v>45729</v>
      </c>
      <c r="K387" s="1" t="str">
        <f t="shared" ref="K387:K450" si="13">IF(J387="","",TEXT(J387,"mmm-yyyy"))</f>
        <v/>
      </c>
      <c r="L387">
        <v>927</v>
      </c>
      <c r="Q387" t="str">
        <f t="shared" si="12"/>
        <v/>
      </c>
    </row>
    <row r="388" spans="1:17" x14ac:dyDescent="0.2">
      <c r="A388">
        <v>387</v>
      </c>
      <c r="B388" t="s">
        <v>421</v>
      </c>
      <c r="C388" t="s">
        <v>17</v>
      </c>
      <c r="D388" t="s">
        <v>21</v>
      </c>
      <c r="E388" t="s">
        <v>14</v>
      </c>
      <c r="F388" t="s">
        <v>43</v>
      </c>
      <c r="G388" s="1">
        <v>45672</v>
      </c>
      <c r="K388" s="1" t="str">
        <f t="shared" si="13"/>
        <v/>
      </c>
      <c r="L388">
        <v>1544</v>
      </c>
      <c r="Q388" t="str">
        <f t="shared" si="12"/>
        <v/>
      </c>
    </row>
    <row r="389" spans="1:17" x14ac:dyDescent="0.2">
      <c r="A389">
        <v>388</v>
      </c>
      <c r="B389" t="s">
        <v>422</v>
      </c>
      <c r="C389" t="s">
        <v>12</v>
      </c>
      <c r="D389" t="s">
        <v>26</v>
      </c>
      <c r="E389" t="s">
        <v>33</v>
      </c>
      <c r="F389" t="s">
        <v>51</v>
      </c>
      <c r="G389" s="1">
        <v>45709</v>
      </c>
      <c r="H389" s="1">
        <v>45721</v>
      </c>
      <c r="K389" s="1" t="str">
        <f t="shared" si="13"/>
        <v/>
      </c>
      <c r="L389">
        <v>1746</v>
      </c>
      <c r="Q389" t="str">
        <f t="shared" si="12"/>
        <v/>
      </c>
    </row>
    <row r="390" spans="1:17" x14ac:dyDescent="0.2">
      <c r="A390">
        <v>389</v>
      </c>
      <c r="B390" t="s">
        <v>423</v>
      </c>
      <c r="C390" t="s">
        <v>17</v>
      </c>
      <c r="D390" t="s">
        <v>38</v>
      </c>
      <c r="E390" t="s">
        <v>14</v>
      </c>
      <c r="F390" t="s">
        <v>15</v>
      </c>
      <c r="G390" s="1">
        <v>45746</v>
      </c>
      <c r="H390" s="1">
        <v>45753</v>
      </c>
      <c r="I390" s="1">
        <v>45781</v>
      </c>
      <c r="J390" s="1">
        <v>45787</v>
      </c>
      <c r="K390" s="1" t="str">
        <f t="shared" si="13"/>
        <v>May-2025</v>
      </c>
      <c r="L390">
        <v>272</v>
      </c>
      <c r="Q390">
        <f t="shared" si="12"/>
        <v>41</v>
      </c>
    </row>
    <row r="391" spans="1:17" x14ac:dyDescent="0.2">
      <c r="A391">
        <v>390</v>
      </c>
      <c r="B391" t="s">
        <v>424</v>
      </c>
      <c r="C391" t="s">
        <v>25</v>
      </c>
      <c r="D391" t="s">
        <v>26</v>
      </c>
      <c r="E391" t="s">
        <v>14</v>
      </c>
      <c r="F391" t="s">
        <v>18</v>
      </c>
      <c r="G391" s="1">
        <v>45945</v>
      </c>
      <c r="H391" s="1">
        <v>45968</v>
      </c>
      <c r="K391" s="1" t="str">
        <f t="shared" si="13"/>
        <v/>
      </c>
      <c r="L391">
        <v>1111</v>
      </c>
      <c r="Q391" t="str">
        <f t="shared" si="12"/>
        <v/>
      </c>
    </row>
    <row r="392" spans="1:17" x14ac:dyDescent="0.2">
      <c r="A392">
        <v>391</v>
      </c>
      <c r="B392" t="s">
        <v>425</v>
      </c>
      <c r="C392" t="s">
        <v>20</v>
      </c>
      <c r="D392" t="s">
        <v>30</v>
      </c>
      <c r="E392" t="s">
        <v>14</v>
      </c>
      <c r="F392" t="s">
        <v>31</v>
      </c>
      <c r="G392" s="1">
        <v>45886</v>
      </c>
      <c r="H392" s="1">
        <v>45898</v>
      </c>
      <c r="K392" s="1" t="str">
        <f t="shared" si="13"/>
        <v/>
      </c>
      <c r="L392">
        <v>659</v>
      </c>
      <c r="Q392" t="str">
        <f t="shared" si="12"/>
        <v/>
      </c>
    </row>
    <row r="393" spans="1:17" x14ac:dyDescent="0.2">
      <c r="A393">
        <v>392</v>
      </c>
      <c r="B393" t="s">
        <v>426</v>
      </c>
      <c r="C393" t="s">
        <v>20</v>
      </c>
      <c r="D393" t="s">
        <v>48</v>
      </c>
      <c r="E393" t="s">
        <v>14</v>
      </c>
      <c r="F393" t="s">
        <v>15</v>
      </c>
      <c r="G393" s="1">
        <v>45707</v>
      </c>
      <c r="H393" s="1">
        <v>45718</v>
      </c>
      <c r="I393" s="1">
        <v>45744</v>
      </c>
      <c r="J393" s="1">
        <v>45751</v>
      </c>
      <c r="K393" s="1" t="str">
        <f t="shared" si="13"/>
        <v>Apr-2025</v>
      </c>
      <c r="L393">
        <v>1407</v>
      </c>
      <c r="Q393">
        <f t="shared" si="12"/>
        <v>44</v>
      </c>
    </row>
    <row r="394" spans="1:17" x14ac:dyDescent="0.2">
      <c r="A394">
        <v>393</v>
      </c>
      <c r="B394" t="s">
        <v>427</v>
      </c>
      <c r="C394" t="s">
        <v>35</v>
      </c>
      <c r="D394" t="s">
        <v>48</v>
      </c>
      <c r="E394" t="s">
        <v>33</v>
      </c>
      <c r="F394" t="s">
        <v>43</v>
      </c>
      <c r="G394" s="1">
        <v>45730</v>
      </c>
      <c r="K394" s="1" t="str">
        <f t="shared" si="13"/>
        <v/>
      </c>
      <c r="L394">
        <v>1812</v>
      </c>
      <c r="Q394" t="str">
        <f t="shared" si="12"/>
        <v/>
      </c>
    </row>
    <row r="395" spans="1:17" x14ac:dyDescent="0.2">
      <c r="A395">
        <v>394</v>
      </c>
      <c r="B395" t="s">
        <v>428</v>
      </c>
      <c r="C395" t="s">
        <v>25</v>
      </c>
      <c r="D395" t="s">
        <v>26</v>
      </c>
      <c r="E395" t="s">
        <v>49</v>
      </c>
      <c r="F395" t="s">
        <v>43</v>
      </c>
      <c r="G395" s="1">
        <v>45738</v>
      </c>
      <c r="K395" s="1" t="str">
        <f t="shared" si="13"/>
        <v/>
      </c>
      <c r="L395">
        <v>485</v>
      </c>
      <c r="Q395" t="str">
        <f t="shared" si="12"/>
        <v/>
      </c>
    </row>
    <row r="396" spans="1:17" x14ac:dyDescent="0.2">
      <c r="A396">
        <v>395</v>
      </c>
      <c r="B396" t="s">
        <v>429</v>
      </c>
      <c r="C396" t="s">
        <v>12</v>
      </c>
      <c r="D396" t="s">
        <v>26</v>
      </c>
      <c r="E396" t="s">
        <v>33</v>
      </c>
      <c r="F396" t="s">
        <v>31</v>
      </c>
      <c r="G396" s="1">
        <v>45840</v>
      </c>
      <c r="H396" s="1">
        <v>45848</v>
      </c>
      <c r="K396" s="1" t="str">
        <f t="shared" si="13"/>
        <v/>
      </c>
      <c r="L396">
        <v>586</v>
      </c>
      <c r="Q396" t="str">
        <f t="shared" si="12"/>
        <v/>
      </c>
    </row>
    <row r="397" spans="1:17" x14ac:dyDescent="0.2">
      <c r="A397">
        <v>396</v>
      </c>
      <c r="B397" t="s">
        <v>430</v>
      </c>
      <c r="C397" t="s">
        <v>12</v>
      </c>
      <c r="D397" t="s">
        <v>13</v>
      </c>
      <c r="E397" t="s">
        <v>36</v>
      </c>
      <c r="F397" t="s">
        <v>27</v>
      </c>
      <c r="G397" s="1">
        <v>45862</v>
      </c>
      <c r="H397" s="1">
        <v>45875</v>
      </c>
      <c r="I397" s="1">
        <v>45887</v>
      </c>
      <c r="K397" s="1" t="str">
        <f t="shared" si="13"/>
        <v/>
      </c>
      <c r="L397">
        <v>1870</v>
      </c>
      <c r="Q397" t="str">
        <f t="shared" si="12"/>
        <v/>
      </c>
    </row>
    <row r="398" spans="1:17" x14ac:dyDescent="0.2">
      <c r="A398">
        <v>397</v>
      </c>
      <c r="B398" t="s">
        <v>431</v>
      </c>
      <c r="C398" t="s">
        <v>25</v>
      </c>
      <c r="D398" t="s">
        <v>38</v>
      </c>
      <c r="E398" t="s">
        <v>22</v>
      </c>
      <c r="F398" t="s">
        <v>23</v>
      </c>
      <c r="G398" s="1">
        <v>45843</v>
      </c>
      <c r="K398" s="1" t="str">
        <f t="shared" si="13"/>
        <v/>
      </c>
      <c r="L398">
        <v>1354</v>
      </c>
      <c r="Q398" t="str">
        <f t="shared" si="12"/>
        <v/>
      </c>
    </row>
    <row r="399" spans="1:17" x14ac:dyDescent="0.2">
      <c r="A399">
        <v>398</v>
      </c>
      <c r="B399" t="s">
        <v>432</v>
      </c>
      <c r="C399" t="s">
        <v>17</v>
      </c>
      <c r="D399" t="s">
        <v>13</v>
      </c>
      <c r="E399" t="s">
        <v>36</v>
      </c>
      <c r="F399" t="s">
        <v>15</v>
      </c>
      <c r="G399" s="1">
        <v>45921</v>
      </c>
      <c r="H399" s="1">
        <v>45937</v>
      </c>
      <c r="I399" s="1">
        <v>45943</v>
      </c>
      <c r="J399" s="1">
        <v>45946</v>
      </c>
      <c r="K399" s="1" t="str">
        <f t="shared" si="13"/>
        <v>Oct-2025</v>
      </c>
      <c r="L399">
        <v>979</v>
      </c>
      <c r="Q399">
        <f t="shared" si="12"/>
        <v>25</v>
      </c>
    </row>
    <row r="400" spans="1:17" x14ac:dyDescent="0.2">
      <c r="A400">
        <v>399</v>
      </c>
      <c r="B400" t="s">
        <v>433</v>
      </c>
      <c r="C400" t="s">
        <v>20</v>
      </c>
      <c r="D400" t="s">
        <v>48</v>
      </c>
      <c r="E400" t="s">
        <v>22</v>
      </c>
      <c r="F400" t="s">
        <v>43</v>
      </c>
      <c r="G400" s="1">
        <v>45874</v>
      </c>
      <c r="K400" s="1" t="str">
        <f t="shared" si="13"/>
        <v/>
      </c>
      <c r="L400">
        <v>724</v>
      </c>
      <c r="Q400" t="str">
        <f t="shared" si="12"/>
        <v/>
      </c>
    </row>
    <row r="401" spans="1:17" x14ac:dyDescent="0.2">
      <c r="A401">
        <v>400</v>
      </c>
      <c r="B401" t="s">
        <v>434</v>
      </c>
      <c r="C401" t="s">
        <v>25</v>
      </c>
      <c r="D401" t="s">
        <v>38</v>
      </c>
      <c r="E401" t="s">
        <v>14</v>
      </c>
      <c r="F401" t="s">
        <v>31</v>
      </c>
      <c r="G401" s="1">
        <v>45694</v>
      </c>
      <c r="H401" s="1">
        <v>45719</v>
      </c>
      <c r="K401" s="1" t="str">
        <f t="shared" si="13"/>
        <v/>
      </c>
      <c r="L401">
        <v>1287</v>
      </c>
      <c r="Q401" t="str">
        <f t="shared" si="12"/>
        <v/>
      </c>
    </row>
    <row r="402" spans="1:17" x14ac:dyDescent="0.2">
      <c r="A402">
        <v>401</v>
      </c>
      <c r="B402" t="s">
        <v>435</v>
      </c>
      <c r="C402" t="s">
        <v>17</v>
      </c>
      <c r="D402" t="s">
        <v>13</v>
      </c>
      <c r="E402" t="s">
        <v>33</v>
      </c>
      <c r="F402" t="s">
        <v>27</v>
      </c>
      <c r="G402" s="1">
        <v>45812</v>
      </c>
      <c r="H402" s="1">
        <v>45822</v>
      </c>
      <c r="I402" s="1">
        <v>45839</v>
      </c>
      <c r="K402" s="1" t="str">
        <f t="shared" si="13"/>
        <v/>
      </c>
      <c r="L402">
        <v>229</v>
      </c>
      <c r="Q402" t="str">
        <f t="shared" si="12"/>
        <v/>
      </c>
    </row>
    <row r="403" spans="1:17" x14ac:dyDescent="0.2">
      <c r="A403">
        <v>402</v>
      </c>
      <c r="B403" t="s">
        <v>436</v>
      </c>
      <c r="C403" t="s">
        <v>25</v>
      </c>
      <c r="D403" t="s">
        <v>48</v>
      </c>
      <c r="E403" t="s">
        <v>14</v>
      </c>
      <c r="F403" t="s">
        <v>43</v>
      </c>
      <c r="G403" s="1">
        <v>45765</v>
      </c>
      <c r="K403" s="1" t="str">
        <f t="shared" si="13"/>
        <v/>
      </c>
      <c r="L403">
        <v>1186</v>
      </c>
      <c r="Q403" t="str">
        <f t="shared" si="12"/>
        <v/>
      </c>
    </row>
    <row r="404" spans="1:17" x14ac:dyDescent="0.2">
      <c r="A404">
        <v>403</v>
      </c>
      <c r="B404" t="s">
        <v>437</v>
      </c>
      <c r="C404" t="s">
        <v>17</v>
      </c>
      <c r="D404" t="s">
        <v>48</v>
      </c>
      <c r="E404" t="s">
        <v>22</v>
      </c>
      <c r="F404" t="s">
        <v>31</v>
      </c>
      <c r="G404" s="1">
        <v>45939</v>
      </c>
      <c r="H404" s="1">
        <v>45949</v>
      </c>
      <c r="K404" s="1" t="str">
        <f t="shared" si="13"/>
        <v/>
      </c>
      <c r="L404">
        <v>979</v>
      </c>
      <c r="Q404" t="str">
        <f t="shared" si="12"/>
        <v/>
      </c>
    </row>
    <row r="405" spans="1:17" x14ac:dyDescent="0.2">
      <c r="A405">
        <v>404</v>
      </c>
      <c r="B405" t="s">
        <v>438</v>
      </c>
      <c r="C405" t="s">
        <v>35</v>
      </c>
      <c r="D405" t="s">
        <v>38</v>
      </c>
      <c r="E405" t="s">
        <v>14</v>
      </c>
      <c r="F405" t="s">
        <v>15</v>
      </c>
      <c r="G405" s="1">
        <v>45781</v>
      </c>
      <c r="H405" s="1">
        <v>45799</v>
      </c>
      <c r="I405" s="1">
        <v>45818</v>
      </c>
      <c r="J405" s="1">
        <v>45827</v>
      </c>
      <c r="K405" s="1" t="str">
        <f t="shared" si="13"/>
        <v>Jun-2025</v>
      </c>
      <c r="L405">
        <v>575</v>
      </c>
      <c r="Q405">
        <f t="shared" si="12"/>
        <v>46</v>
      </c>
    </row>
    <row r="406" spans="1:17" x14ac:dyDescent="0.2">
      <c r="A406">
        <v>405</v>
      </c>
      <c r="B406" t="s">
        <v>439</v>
      </c>
      <c r="C406" t="s">
        <v>35</v>
      </c>
      <c r="D406" t="s">
        <v>21</v>
      </c>
      <c r="E406" t="s">
        <v>33</v>
      </c>
      <c r="F406" t="s">
        <v>15</v>
      </c>
      <c r="G406" s="1">
        <v>45682</v>
      </c>
      <c r="H406" s="1">
        <v>45694</v>
      </c>
      <c r="I406" s="1">
        <v>45703</v>
      </c>
      <c r="J406" s="1">
        <v>45706</v>
      </c>
      <c r="K406" s="1" t="str">
        <f t="shared" si="13"/>
        <v>Feb-2025</v>
      </c>
      <c r="L406">
        <v>270</v>
      </c>
      <c r="Q406">
        <f t="shared" si="12"/>
        <v>24</v>
      </c>
    </row>
    <row r="407" spans="1:17" x14ac:dyDescent="0.2">
      <c r="A407">
        <v>406</v>
      </c>
      <c r="B407" t="s">
        <v>440</v>
      </c>
      <c r="C407" t="s">
        <v>25</v>
      </c>
      <c r="D407" t="s">
        <v>13</v>
      </c>
      <c r="E407" t="s">
        <v>14</v>
      </c>
      <c r="F407" t="s">
        <v>31</v>
      </c>
      <c r="G407" s="1">
        <v>45942</v>
      </c>
      <c r="H407" s="1">
        <v>45954</v>
      </c>
      <c r="K407" s="1" t="str">
        <f t="shared" si="13"/>
        <v/>
      </c>
      <c r="L407">
        <v>1002</v>
      </c>
      <c r="Q407" t="str">
        <f t="shared" si="12"/>
        <v/>
      </c>
    </row>
    <row r="408" spans="1:17" x14ac:dyDescent="0.2">
      <c r="A408">
        <v>407</v>
      </c>
      <c r="B408" t="s">
        <v>441</v>
      </c>
      <c r="C408" t="s">
        <v>25</v>
      </c>
      <c r="D408" t="s">
        <v>30</v>
      </c>
      <c r="E408" t="s">
        <v>14</v>
      </c>
      <c r="F408" t="s">
        <v>31</v>
      </c>
      <c r="G408" s="1">
        <v>45756</v>
      </c>
      <c r="H408" s="1">
        <v>45778</v>
      </c>
      <c r="K408" s="1" t="str">
        <f t="shared" si="13"/>
        <v/>
      </c>
      <c r="L408">
        <v>976</v>
      </c>
      <c r="Q408" t="str">
        <f t="shared" si="12"/>
        <v/>
      </c>
    </row>
    <row r="409" spans="1:17" x14ac:dyDescent="0.2">
      <c r="A409">
        <v>408</v>
      </c>
      <c r="B409" t="s">
        <v>442</v>
      </c>
      <c r="C409" t="s">
        <v>17</v>
      </c>
      <c r="D409" t="s">
        <v>38</v>
      </c>
      <c r="E409" t="s">
        <v>22</v>
      </c>
      <c r="F409" t="s">
        <v>23</v>
      </c>
      <c r="G409" s="1">
        <v>45764</v>
      </c>
      <c r="K409" s="1" t="str">
        <f t="shared" si="13"/>
        <v/>
      </c>
      <c r="L409">
        <v>685</v>
      </c>
      <c r="Q409" t="str">
        <f t="shared" si="12"/>
        <v/>
      </c>
    </row>
    <row r="410" spans="1:17" x14ac:dyDescent="0.2">
      <c r="A410">
        <v>409</v>
      </c>
      <c r="B410" t="s">
        <v>443</v>
      </c>
      <c r="C410" t="s">
        <v>12</v>
      </c>
      <c r="D410" t="s">
        <v>21</v>
      </c>
      <c r="E410" t="s">
        <v>14</v>
      </c>
      <c r="F410" t="s">
        <v>18</v>
      </c>
      <c r="G410" s="1">
        <v>45884</v>
      </c>
      <c r="H410" s="1">
        <v>45906</v>
      </c>
      <c r="K410" s="1" t="str">
        <f t="shared" si="13"/>
        <v/>
      </c>
      <c r="L410">
        <v>472</v>
      </c>
      <c r="Q410" t="str">
        <f t="shared" si="12"/>
        <v/>
      </c>
    </row>
    <row r="411" spans="1:17" x14ac:dyDescent="0.2">
      <c r="A411">
        <v>410</v>
      </c>
      <c r="B411" t="s">
        <v>444</v>
      </c>
      <c r="C411" t="s">
        <v>25</v>
      </c>
      <c r="D411" t="s">
        <v>26</v>
      </c>
      <c r="E411" t="s">
        <v>14</v>
      </c>
      <c r="F411" t="s">
        <v>43</v>
      </c>
      <c r="G411" s="1">
        <v>45812</v>
      </c>
      <c r="K411" s="1" t="str">
        <f t="shared" si="13"/>
        <v/>
      </c>
      <c r="L411">
        <v>1934</v>
      </c>
      <c r="Q411" t="str">
        <f t="shared" si="12"/>
        <v/>
      </c>
    </row>
    <row r="412" spans="1:17" x14ac:dyDescent="0.2">
      <c r="A412">
        <v>411</v>
      </c>
      <c r="B412" t="s">
        <v>445</v>
      </c>
      <c r="C412" t="s">
        <v>35</v>
      </c>
      <c r="D412" t="s">
        <v>38</v>
      </c>
      <c r="E412" t="s">
        <v>14</v>
      </c>
      <c r="F412" t="s">
        <v>23</v>
      </c>
      <c r="G412" s="1">
        <v>45761</v>
      </c>
      <c r="K412" s="1" t="str">
        <f t="shared" si="13"/>
        <v/>
      </c>
      <c r="L412">
        <v>528</v>
      </c>
      <c r="Q412" t="str">
        <f t="shared" si="12"/>
        <v/>
      </c>
    </row>
    <row r="413" spans="1:17" x14ac:dyDescent="0.2">
      <c r="A413">
        <v>412</v>
      </c>
      <c r="B413" t="s">
        <v>446</v>
      </c>
      <c r="C413" t="s">
        <v>35</v>
      </c>
      <c r="D413" t="s">
        <v>26</v>
      </c>
      <c r="E413" t="s">
        <v>36</v>
      </c>
      <c r="F413" t="s">
        <v>23</v>
      </c>
      <c r="G413" s="1">
        <v>45762</v>
      </c>
      <c r="K413" s="1" t="str">
        <f t="shared" si="13"/>
        <v/>
      </c>
      <c r="L413">
        <v>1388</v>
      </c>
      <c r="Q413" t="str">
        <f t="shared" si="12"/>
        <v/>
      </c>
    </row>
    <row r="414" spans="1:17" x14ac:dyDescent="0.2">
      <c r="A414">
        <v>413</v>
      </c>
      <c r="B414" t="s">
        <v>447</v>
      </c>
      <c r="C414" t="s">
        <v>46</v>
      </c>
      <c r="D414" t="s">
        <v>21</v>
      </c>
      <c r="E414" t="s">
        <v>22</v>
      </c>
      <c r="F414" t="s">
        <v>51</v>
      </c>
      <c r="G414" s="1">
        <v>45694</v>
      </c>
      <c r="H414" s="1">
        <v>45708</v>
      </c>
      <c r="K414" s="1" t="str">
        <f t="shared" si="13"/>
        <v/>
      </c>
      <c r="L414">
        <v>1058</v>
      </c>
      <c r="Q414" t="str">
        <f t="shared" si="12"/>
        <v/>
      </c>
    </row>
    <row r="415" spans="1:17" x14ac:dyDescent="0.2">
      <c r="A415">
        <v>414</v>
      </c>
      <c r="B415" t="s">
        <v>448</v>
      </c>
      <c r="C415" t="s">
        <v>25</v>
      </c>
      <c r="D415" t="s">
        <v>26</v>
      </c>
      <c r="E415" t="s">
        <v>49</v>
      </c>
      <c r="F415" t="s">
        <v>18</v>
      </c>
      <c r="G415" s="1">
        <v>45853</v>
      </c>
      <c r="H415" s="1">
        <v>45866</v>
      </c>
      <c r="K415" s="1" t="str">
        <f t="shared" si="13"/>
        <v/>
      </c>
      <c r="L415">
        <v>785</v>
      </c>
      <c r="Q415" t="str">
        <f t="shared" si="12"/>
        <v/>
      </c>
    </row>
    <row r="416" spans="1:17" x14ac:dyDescent="0.2">
      <c r="A416">
        <v>415</v>
      </c>
      <c r="B416" t="s">
        <v>449</v>
      </c>
      <c r="C416" t="s">
        <v>25</v>
      </c>
      <c r="D416" t="s">
        <v>26</v>
      </c>
      <c r="E416" t="s">
        <v>49</v>
      </c>
      <c r="F416" t="s">
        <v>43</v>
      </c>
      <c r="G416" s="1">
        <v>45870</v>
      </c>
      <c r="K416" s="1" t="str">
        <f t="shared" si="13"/>
        <v/>
      </c>
      <c r="L416">
        <v>692</v>
      </c>
      <c r="Q416" t="str">
        <f t="shared" si="12"/>
        <v/>
      </c>
    </row>
    <row r="417" spans="1:17" x14ac:dyDescent="0.2">
      <c r="A417">
        <v>416</v>
      </c>
      <c r="B417" t="s">
        <v>450</v>
      </c>
      <c r="C417" t="s">
        <v>12</v>
      </c>
      <c r="D417" t="s">
        <v>26</v>
      </c>
      <c r="E417" t="s">
        <v>33</v>
      </c>
      <c r="F417" t="s">
        <v>18</v>
      </c>
      <c r="G417" s="1">
        <v>45906</v>
      </c>
      <c r="H417" s="1">
        <v>45922</v>
      </c>
      <c r="K417" s="1" t="str">
        <f t="shared" si="13"/>
        <v/>
      </c>
      <c r="L417">
        <v>1762</v>
      </c>
      <c r="Q417" t="str">
        <f t="shared" si="12"/>
        <v/>
      </c>
    </row>
    <row r="418" spans="1:17" x14ac:dyDescent="0.2">
      <c r="A418">
        <v>417</v>
      </c>
      <c r="B418" t="s">
        <v>451</v>
      </c>
      <c r="C418" t="s">
        <v>17</v>
      </c>
      <c r="D418" t="s">
        <v>48</v>
      </c>
      <c r="E418" t="s">
        <v>22</v>
      </c>
      <c r="F418" t="s">
        <v>51</v>
      </c>
      <c r="G418" s="1">
        <v>45790</v>
      </c>
      <c r="H418" s="1">
        <v>45801</v>
      </c>
      <c r="K418" s="1" t="str">
        <f t="shared" si="13"/>
        <v/>
      </c>
      <c r="L418">
        <v>821</v>
      </c>
      <c r="Q418" t="str">
        <f t="shared" si="12"/>
        <v/>
      </c>
    </row>
    <row r="419" spans="1:17" x14ac:dyDescent="0.2">
      <c r="A419">
        <v>418</v>
      </c>
      <c r="B419" t="s">
        <v>452</v>
      </c>
      <c r="C419" t="s">
        <v>17</v>
      </c>
      <c r="D419" t="s">
        <v>26</v>
      </c>
      <c r="E419" t="s">
        <v>22</v>
      </c>
      <c r="F419" t="s">
        <v>31</v>
      </c>
      <c r="G419" s="1">
        <v>45827</v>
      </c>
      <c r="H419" s="1">
        <v>45832</v>
      </c>
      <c r="K419" s="1" t="str">
        <f t="shared" si="13"/>
        <v/>
      </c>
      <c r="L419">
        <v>1418</v>
      </c>
      <c r="Q419" t="str">
        <f t="shared" si="12"/>
        <v/>
      </c>
    </row>
    <row r="420" spans="1:17" x14ac:dyDescent="0.2">
      <c r="A420">
        <v>419</v>
      </c>
      <c r="B420" t="s">
        <v>453</v>
      </c>
      <c r="C420" t="s">
        <v>25</v>
      </c>
      <c r="D420" t="s">
        <v>13</v>
      </c>
      <c r="E420" t="s">
        <v>33</v>
      </c>
      <c r="F420" t="s">
        <v>43</v>
      </c>
      <c r="G420" s="1">
        <v>45790</v>
      </c>
      <c r="K420" s="1" t="str">
        <f t="shared" si="13"/>
        <v/>
      </c>
      <c r="L420">
        <v>1678</v>
      </c>
      <c r="Q420" t="str">
        <f t="shared" si="12"/>
        <v/>
      </c>
    </row>
    <row r="421" spans="1:17" x14ac:dyDescent="0.2">
      <c r="A421">
        <v>420</v>
      </c>
      <c r="B421" t="s">
        <v>454</v>
      </c>
      <c r="C421" t="s">
        <v>20</v>
      </c>
      <c r="D421" t="s">
        <v>30</v>
      </c>
      <c r="E421" t="s">
        <v>22</v>
      </c>
      <c r="F421" t="s">
        <v>31</v>
      </c>
      <c r="G421" s="1">
        <v>45952</v>
      </c>
      <c r="H421" s="1">
        <v>45960</v>
      </c>
      <c r="K421" s="1" t="str">
        <f t="shared" si="13"/>
        <v/>
      </c>
      <c r="L421">
        <v>1028</v>
      </c>
      <c r="Q421" t="str">
        <f t="shared" si="12"/>
        <v/>
      </c>
    </row>
    <row r="422" spans="1:17" x14ac:dyDescent="0.2">
      <c r="A422">
        <v>421</v>
      </c>
      <c r="B422" t="s">
        <v>455</v>
      </c>
      <c r="C422" t="s">
        <v>35</v>
      </c>
      <c r="D422" t="s">
        <v>30</v>
      </c>
      <c r="E422" t="s">
        <v>33</v>
      </c>
      <c r="F422" t="s">
        <v>27</v>
      </c>
      <c r="G422" s="1">
        <v>45793</v>
      </c>
      <c r="H422" s="1">
        <v>45813</v>
      </c>
      <c r="I422" s="1">
        <v>45818</v>
      </c>
      <c r="K422" s="1" t="str">
        <f t="shared" si="13"/>
        <v/>
      </c>
      <c r="L422">
        <v>401</v>
      </c>
      <c r="Q422" t="str">
        <f t="shared" si="12"/>
        <v/>
      </c>
    </row>
    <row r="423" spans="1:17" x14ac:dyDescent="0.2">
      <c r="A423">
        <v>422</v>
      </c>
      <c r="B423" t="s">
        <v>456</v>
      </c>
      <c r="C423" t="s">
        <v>12</v>
      </c>
      <c r="D423" t="s">
        <v>38</v>
      </c>
      <c r="E423" t="s">
        <v>22</v>
      </c>
      <c r="F423" t="s">
        <v>23</v>
      </c>
      <c r="G423" s="1">
        <v>45707</v>
      </c>
      <c r="K423" s="1" t="str">
        <f t="shared" si="13"/>
        <v/>
      </c>
      <c r="L423">
        <v>279</v>
      </c>
      <c r="Q423" t="str">
        <f t="shared" si="12"/>
        <v/>
      </c>
    </row>
    <row r="424" spans="1:17" x14ac:dyDescent="0.2">
      <c r="A424">
        <v>423</v>
      </c>
      <c r="B424" t="s">
        <v>457</v>
      </c>
      <c r="C424" t="s">
        <v>25</v>
      </c>
      <c r="D424" t="s">
        <v>26</v>
      </c>
      <c r="E424" t="s">
        <v>14</v>
      </c>
      <c r="F424" t="s">
        <v>23</v>
      </c>
      <c r="G424" s="1">
        <v>45929</v>
      </c>
      <c r="K424" s="1" t="str">
        <f t="shared" si="13"/>
        <v/>
      </c>
      <c r="L424">
        <v>635</v>
      </c>
      <c r="Q424" t="str">
        <f t="shared" si="12"/>
        <v/>
      </c>
    </row>
    <row r="425" spans="1:17" x14ac:dyDescent="0.2">
      <c r="A425">
        <v>424</v>
      </c>
      <c r="B425" t="s">
        <v>458</v>
      </c>
      <c r="C425" t="s">
        <v>20</v>
      </c>
      <c r="D425" t="s">
        <v>21</v>
      </c>
      <c r="E425" t="s">
        <v>14</v>
      </c>
      <c r="F425" t="s">
        <v>31</v>
      </c>
      <c r="G425" s="1">
        <v>45911</v>
      </c>
      <c r="H425" s="1">
        <v>45928</v>
      </c>
      <c r="K425" s="1" t="str">
        <f t="shared" si="13"/>
        <v/>
      </c>
      <c r="L425">
        <v>1056</v>
      </c>
      <c r="Q425" t="str">
        <f t="shared" si="12"/>
        <v/>
      </c>
    </row>
    <row r="426" spans="1:17" x14ac:dyDescent="0.2">
      <c r="A426">
        <v>425</v>
      </c>
      <c r="B426" t="s">
        <v>459</v>
      </c>
      <c r="C426" t="s">
        <v>12</v>
      </c>
      <c r="D426" t="s">
        <v>38</v>
      </c>
      <c r="E426" t="s">
        <v>36</v>
      </c>
      <c r="F426" t="s">
        <v>43</v>
      </c>
      <c r="G426" s="1">
        <v>45778</v>
      </c>
      <c r="K426" s="1" t="str">
        <f t="shared" si="13"/>
        <v/>
      </c>
      <c r="L426">
        <v>1682</v>
      </c>
      <c r="Q426" t="str">
        <f t="shared" si="12"/>
        <v/>
      </c>
    </row>
    <row r="427" spans="1:17" x14ac:dyDescent="0.2">
      <c r="A427">
        <v>426</v>
      </c>
      <c r="B427" t="s">
        <v>460</v>
      </c>
      <c r="C427" t="s">
        <v>12</v>
      </c>
      <c r="D427" t="s">
        <v>30</v>
      </c>
      <c r="E427" t="s">
        <v>49</v>
      </c>
      <c r="F427" t="s">
        <v>23</v>
      </c>
      <c r="G427" s="1">
        <v>45871</v>
      </c>
      <c r="K427" s="1" t="str">
        <f t="shared" si="13"/>
        <v/>
      </c>
      <c r="L427">
        <v>1448</v>
      </c>
      <c r="Q427" t="str">
        <f t="shared" si="12"/>
        <v/>
      </c>
    </row>
    <row r="428" spans="1:17" x14ac:dyDescent="0.2">
      <c r="A428">
        <v>427</v>
      </c>
      <c r="B428" t="s">
        <v>461</v>
      </c>
      <c r="C428" t="s">
        <v>35</v>
      </c>
      <c r="D428" t="s">
        <v>26</v>
      </c>
      <c r="E428" t="s">
        <v>36</v>
      </c>
      <c r="F428" t="s">
        <v>31</v>
      </c>
      <c r="G428" s="1">
        <v>45868</v>
      </c>
      <c r="H428" s="1">
        <v>45886</v>
      </c>
      <c r="K428" s="1" t="str">
        <f t="shared" si="13"/>
        <v/>
      </c>
      <c r="L428">
        <v>1509</v>
      </c>
      <c r="Q428" t="str">
        <f t="shared" si="12"/>
        <v/>
      </c>
    </row>
    <row r="429" spans="1:17" x14ac:dyDescent="0.2">
      <c r="A429">
        <v>428</v>
      </c>
      <c r="B429" t="s">
        <v>462</v>
      </c>
      <c r="C429" t="s">
        <v>12</v>
      </c>
      <c r="D429" t="s">
        <v>30</v>
      </c>
      <c r="E429" t="s">
        <v>33</v>
      </c>
      <c r="F429" t="s">
        <v>51</v>
      </c>
      <c r="G429" s="1">
        <v>45670</v>
      </c>
      <c r="H429" s="1">
        <v>45685</v>
      </c>
      <c r="K429" s="1" t="str">
        <f t="shared" si="13"/>
        <v/>
      </c>
      <c r="L429">
        <v>352</v>
      </c>
      <c r="Q429" t="str">
        <f t="shared" si="12"/>
        <v/>
      </c>
    </row>
    <row r="430" spans="1:17" x14ac:dyDescent="0.2">
      <c r="A430">
        <v>429</v>
      </c>
      <c r="B430" t="s">
        <v>463</v>
      </c>
      <c r="C430" t="s">
        <v>17</v>
      </c>
      <c r="D430" t="s">
        <v>21</v>
      </c>
      <c r="E430" t="s">
        <v>14</v>
      </c>
      <c r="F430" t="s">
        <v>15</v>
      </c>
      <c r="G430" s="1">
        <v>45811</v>
      </c>
      <c r="H430" s="1">
        <v>45834</v>
      </c>
      <c r="I430" s="1">
        <v>45843</v>
      </c>
      <c r="J430" s="1">
        <v>45846</v>
      </c>
      <c r="K430" s="1" t="str">
        <f t="shared" si="13"/>
        <v>Jul-2025</v>
      </c>
      <c r="L430">
        <v>1498</v>
      </c>
      <c r="Q430">
        <f t="shared" si="12"/>
        <v>35</v>
      </c>
    </row>
    <row r="431" spans="1:17" x14ac:dyDescent="0.2">
      <c r="A431">
        <v>430</v>
      </c>
      <c r="B431" t="s">
        <v>464</v>
      </c>
      <c r="C431" t="s">
        <v>12</v>
      </c>
      <c r="D431" t="s">
        <v>48</v>
      </c>
      <c r="E431" t="s">
        <v>22</v>
      </c>
      <c r="F431" t="s">
        <v>27</v>
      </c>
      <c r="G431" s="1">
        <v>45797</v>
      </c>
      <c r="H431" s="1">
        <v>45811</v>
      </c>
      <c r="I431" s="1">
        <v>45824</v>
      </c>
      <c r="K431" s="1" t="str">
        <f t="shared" si="13"/>
        <v/>
      </c>
      <c r="L431">
        <v>978</v>
      </c>
      <c r="Q431" t="str">
        <f t="shared" si="12"/>
        <v/>
      </c>
    </row>
    <row r="432" spans="1:17" x14ac:dyDescent="0.2">
      <c r="A432">
        <v>431</v>
      </c>
      <c r="B432" t="s">
        <v>465</v>
      </c>
      <c r="C432" t="s">
        <v>25</v>
      </c>
      <c r="D432" t="s">
        <v>21</v>
      </c>
      <c r="E432" t="s">
        <v>22</v>
      </c>
      <c r="F432" t="s">
        <v>43</v>
      </c>
      <c r="G432" s="1">
        <v>45951</v>
      </c>
      <c r="K432" s="1" t="str">
        <f t="shared" si="13"/>
        <v/>
      </c>
      <c r="L432">
        <v>1120</v>
      </c>
      <c r="Q432" t="str">
        <f t="shared" si="12"/>
        <v/>
      </c>
    </row>
    <row r="433" spans="1:17" x14ac:dyDescent="0.2">
      <c r="A433">
        <v>432</v>
      </c>
      <c r="B433" t="s">
        <v>466</v>
      </c>
      <c r="C433" t="s">
        <v>35</v>
      </c>
      <c r="D433" t="s">
        <v>26</v>
      </c>
      <c r="E433" t="s">
        <v>49</v>
      </c>
      <c r="F433" t="s">
        <v>31</v>
      </c>
      <c r="G433" s="1">
        <v>45807</v>
      </c>
      <c r="H433" s="1">
        <v>45828</v>
      </c>
      <c r="K433" s="1" t="str">
        <f t="shared" si="13"/>
        <v/>
      </c>
      <c r="L433">
        <v>925</v>
      </c>
      <c r="Q433" t="str">
        <f t="shared" si="12"/>
        <v/>
      </c>
    </row>
    <row r="434" spans="1:17" x14ac:dyDescent="0.2">
      <c r="A434">
        <v>433</v>
      </c>
      <c r="B434" t="s">
        <v>467</v>
      </c>
      <c r="C434" t="s">
        <v>12</v>
      </c>
      <c r="D434" t="s">
        <v>26</v>
      </c>
      <c r="E434" t="s">
        <v>36</v>
      </c>
      <c r="F434" t="s">
        <v>18</v>
      </c>
      <c r="G434" s="1">
        <v>45712</v>
      </c>
      <c r="H434" s="1">
        <v>45720</v>
      </c>
      <c r="K434" s="1" t="str">
        <f t="shared" si="13"/>
        <v/>
      </c>
      <c r="L434">
        <v>1315</v>
      </c>
      <c r="Q434" t="str">
        <f t="shared" si="12"/>
        <v/>
      </c>
    </row>
    <row r="435" spans="1:17" x14ac:dyDescent="0.2">
      <c r="A435">
        <v>434</v>
      </c>
      <c r="B435" t="s">
        <v>468</v>
      </c>
      <c r="C435" t="s">
        <v>46</v>
      </c>
      <c r="D435" t="s">
        <v>38</v>
      </c>
      <c r="E435" t="s">
        <v>49</v>
      </c>
      <c r="F435" t="s">
        <v>43</v>
      </c>
      <c r="G435" s="1">
        <v>45865</v>
      </c>
      <c r="K435" s="1" t="str">
        <f t="shared" si="13"/>
        <v/>
      </c>
      <c r="L435">
        <v>961</v>
      </c>
      <c r="Q435" t="str">
        <f t="shared" si="12"/>
        <v/>
      </c>
    </row>
    <row r="436" spans="1:17" x14ac:dyDescent="0.2">
      <c r="A436">
        <v>435</v>
      </c>
      <c r="B436" t="s">
        <v>469</v>
      </c>
      <c r="C436" t="s">
        <v>12</v>
      </c>
      <c r="D436" t="s">
        <v>21</v>
      </c>
      <c r="E436" t="s">
        <v>33</v>
      </c>
      <c r="F436" t="s">
        <v>43</v>
      </c>
      <c r="G436" s="1">
        <v>45722</v>
      </c>
      <c r="K436" s="1" t="str">
        <f t="shared" si="13"/>
        <v/>
      </c>
      <c r="L436">
        <v>1775</v>
      </c>
      <c r="Q436" t="str">
        <f t="shared" si="12"/>
        <v/>
      </c>
    </row>
    <row r="437" spans="1:17" x14ac:dyDescent="0.2">
      <c r="A437">
        <v>436</v>
      </c>
      <c r="B437" t="s">
        <v>470</v>
      </c>
      <c r="C437" t="s">
        <v>35</v>
      </c>
      <c r="D437" t="s">
        <v>21</v>
      </c>
      <c r="E437" t="s">
        <v>33</v>
      </c>
      <c r="F437" t="s">
        <v>18</v>
      </c>
      <c r="G437" s="1">
        <v>45776</v>
      </c>
      <c r="H437" s="1">
        <v>45796</v>
      </c>
      <c r="K437" s="1" t="str">
        <f t="shared" si="13"/>
        <v/>
      </c>
      <c r="L437">
        <v>1314</v>
      </c>
      <c r="Q437" t="str">
        <f t="shared" si="12"/>
        <v/>
      </c>
    </row>
    <row r="438" spans="1:17" x14ac:dyDescent="0.2">
      <c r="A438">
        <v>437</v>
      </c>
      <c r="B438" t="s">
        <v>471</v>
      </c>
      <c r="C438" t="s">
        <v>46</v>
      </c>
      <c r="D438" t="s">
        <v>38</v>
      </c>
      <c r="E438" t="s">
        <v>49</v>
      </c>
      <c r="F438" t="s">
        <v>18</v>
      </c>
      <c r="G438" s="1">
        <v>45794</v>
      </c>
      <c r="H438" s="1">
        <v>45804</v>
      </c>
      <c r="K438" s="1" t="str">
        <f t="shared" si="13"/>
        <v/>
      </c>
      <c r="L438">
        <v>1380</v>
      </c>
      <c r="Q438" t="str">
        <f t="shared" si="12"/>
        <v/>
      </c>
    </row>
    <row r="439" spans="1:17" x14ac:dyDescent="0.2">
      <c r="A439">
        <v>438</v>
      </c>
      <c r="B439" t="s">
        <v>472</v>
      </c>
      <c r="C439" t="s">
        <v>25</v>
      </c>
      <c r="D439" t="s">
        <v>48</v>
      </c>
      <c r="E439" t="s">
        <v>49</v>
      </c>
      <c r="F439" t="s">
        <v>27</v>
      </c>
      <c r="G439" s="1">
        <v>45801</v>
      </c>
      <c r="H439" s="1">
        <v>45825</v>
      </c>
      <c r="I439" s="1">
        <v>45831</v>
      </c>
      <c r="K439" s="1" t="str">
        <f t="shared" si="13"/>
        <v/>
      </c>
      <c r="L439">
        <v>645</v>
      </c>
      <c r="Q439" t="str">
        <f t="shared" si="12"/>
        <v/>
      </c>
    </row>
    <row r="440" spans="1:17" x14ac:dyDescent="0.2">
      <c r="A440">
        <v>439</v>
      </c>
      <c r="B440" t="s">
        <v>473</v>
      </c>
      <c r="C440" t="s">
        <v>17</v>
      </c>
      <c r="D440" t="s">
        <v>26</v>
      </c>
      <c r="E440" t="s">
        <v>22</v>
      </c>
      <c r="F440" t="s">
        <v>23</v>
      </c>
      <c r="G440" s="1">
        <v>45899</v>
      </c>
      <c r="K440" s="1" t="str">
        <f t="shared" si="13"/>
        <v/>
      </c>
      <c r="L440">
        <v>1454</v>
      </c>
      <c r="Q440" t="str">
        <f t="shared" si="12"/>
        <v/>
      </c>
    </row>
    <row r="441" spans="1:17" x14ac:dyDescent="0.2">
      <c r="A441">
        <v>440</v>
      </c>
      <c r="B441" t="s">
        <v>474</v>
      </c>
      <c r="C441" t="s">
        <v>12</v>
      </c>
      <c r="D441" t="s">
        <v>30</v>
      </c>
      <c r="E441" t="s">
        <v>22</v>
      </c>
      <c r="F441" t="s">
        <v>23</v>
      </c>
      <c r="G441" s="1">
        <v>45928</v>
      </c>
      <c r="K441" s="1" t="str">
        <f t="shared" si="13"/>
        <v/>
      </c>
      <c r="L441">
        <v>471</v>
      </c>
      <c r="Q441" t="str">
        <f t="shared" si="12"/>
        <v/>
      </c>
    </row>
    <row r="442" spans="1:17" x14ac:dyDescent="0.2">
      <c r="A442">
        <v>441</v>
      </c>
      <c r="B442" t="s">
        <v>475</v>
      </c>
      <c r="C442" t="s">
        <v>35</v>
      </c>
      <c r="D442" t="s">
        <v>26</v>
      </c>
      <c r="E442" t="s">
        <v>14</v>
      </c>
      <c r="F442" t="s">
        <v>31</v>
      </c>
      <c r="G442" s="1">
        <v>45735</v>
      </c>
      <c r="H442" s="1">
        <v>45759</v>
      </c>
      <c r="K442" s="1" t="str">
        <f t="shared" si="13"/>
        <v/>
      </c>
      <c r="L442">
        <v>690</v>
      </c>
      <c r="Q442" t="str">
        <f t="shared" si="12"/>
        <v/>
      </c>
    </row>
    <row r="443" spans="1:17" x14ac:dyDescent="0.2">
      <c r="A443">
        <v>442</v>
      </c>
      <c r="B443" t="s">
        <v>476</v>
      </c>
      <c r="C443" t="s">
        <v>35</v>
      </c>
      <c r="D443" t="s">
        <v>21</v>
      </c>
      <c r="E443" t="s">
        <v>33</v>
      </c>
      <c r="F443" t="s">
        <v>18</v>
      </c>
      <c r="G443" s="1">
        <v>45937</v>
      </c>
      <c r="H443" s="1">
        <v>45948</v>
      </c>
      <c r="K443" s="1" t="str">
        <f t="shared" si="13"/>
        <v/>
      </c>
      <c r="L443">
        <v>1524</v>
      </c>
      <c r="Q443" t="str">
        <f t="shared" si="12"/>
        <v/>
      </c>
    </row>
    <row r="444" spans="1:17" x14ac:dyDescent="0.2">
      <c r="A444">
        <v>443</v>
      </c>
      <c r="B444" t="s">
        <v>477</v>
      </c>
      <c r="C444" t="s">
        <v>12</v>
      </c>
      <c r="D444" t="s">
        <v>48</v>
      </c>
      <c r="E444" t="s">
        <v>36</v>
      </c>
      <c r="F444" t="s">
        <v>23</v>
      </c>
      <c r="G444" s="1">
        <v>45774</v>
      </c>
      <c r="K444" s="1" t="str">
        <f t="shared" si="13"/>
        <v/>
      </c>
      <c r="L444">
        <v>1916</v>
      </c>
      <c r="Q444" t="str">
        <f t="shared" si="12"/>
        <v/>
      </c>
    </row>
    <row r="445" spans="1:17" x14ac:dyDescent="0.2">
      <c r="A445">
        <v>444</v>
      </c>
      <c r="B445" t="s">
        <v>478</v>
      </c>
      <c r="C445" t="s">
        <v>12</v>
      </c>
      <c r="D445" t="s">
        <v>38</v>
      </c>
      <c r="E445" t="s">
        <v>36</v>
      </c>
      <c r="F445" t="s">
        <v>31</v>
      </c>
      <c r="G445" s="1">
        <v>45706</v>
      </c>
      <c r="H445" s="1">
        <v>45729</v>
      </c>
      <c r="K445" s="1" t="str">
        <f t="shared" si="13"/>
        <v/>
      </c>
      <c r="L445">
        <v>1352</v>
      </c>
      <c r="Q445" t="str">
        <f t="shared" si="12"/>
        <v/>
      </c>
    </row>
    <row r="446" spans="1:17" x14ac:dyDescent="0.2">
      <c r="A446">
        <v>445</v>
      </c>
      <c r="B446" t="s">
        <v>479</v>
      </c>
      <c r="C446" t="s">
        <v>20</v>
      </c>
      <c r="D446" t="s">
        <v>13</v>
      </c>
      <c r="E446" t="s">
        <v>33</v>
      </c>
      <c r="F446" t="s">
        <v>51</v>
      </c>
      <c r="G446" s="1">
        <v>45866</v>
      </c>
      <c r="H446" s="1">
        <v>45891</v>
      </c>
      <c r="K446" s="1" t="str">
        <f t="shared" si="13"/>
        <v/>
      </c>
      <c r="L446">
        <v>539</v>
      </c>
      <c r="Q446" t="str">
        <f t="shared" si="12"/>
        <v/>
      </c>
    </row>
    <row r="447" spans="1:17" x14ac:dyDescent="0.2">
      <c r="A447">
        <v>446</v>
      </c>
      <c r="B447" t="s">
        <v>480</v>
      </c>
      <c r="C447" t="s">
        <v>46</v>
      </c>
      <c r="D447" t="s">
        <v>38</v>
      </c>
      <c r="E447" t="s">
        <v>22</v>
      </c>
      <c r="F447" t="s">
        <v>23</v>
      </c>
      <c r="G447" s="1">
        <v>45751</v>
      </c>
      <c r="K447" s="1" t="str">
        <f t="shared" si="13"/>
        <v/>
      </c>
      <c r="L447">
        <v>995</v>
      </c>
      <c r="Q447" t="str">
        <f t="shared" si="12"/>
        <v/>
      </c>
    </row>
    <row r="448" spans="1:17" x14ac:dyDescent="0.2">
      <c r="A448">
        <v>447</v>
      </c>
      <c r="B448" t="s">
        <v>481</v>
      </c>
      <c r="C448" t="s">
        <v>12</v>
      </c>
      <c r="D448" t="s">
        <v>38</v>
      </c>
      <c r="E448" t="s">
        <v>36</v>
      </c>
      <c r="F448" t="s">
        <v>31</v>
      </c>
      <c r="G448" s="1">
        <v>45703</v>
      </c>
      <c r="H448" s="1">
        <v>45723</v>
      </c>
      <c r="K448" s="1" t="str">
        <f t="shared" si="13"/>
        <v/>
      </c>
      <c r="L448">
        <v>1215</v>
      </c>
      <c r="Q448" t="str">
        <f t="shared" si="12"/>
        <v/>
      </c>
    </row>
    <row r="449" spans="1:17" x14ac:dyDescent="0.2">
      <c r="A449">
        <v>448</v>
      </c>
      <c r="B449" t="s">
        <v>482</v>
      </c>
      <c r="C449" t="s">
        <v>12</v>
      </c>
      <c r="D449" t="s">
        <v>38</v>
      </c>
      <c r="E449" t="s">
        <v>36</v>
      </c>
      <c r="F449" t="s">
        <v>18</v>
      </c>
      <c r="G449" s="1">
        <v>45831</v>
      </c>
      <c r="H449" s="1">
        <v>45848</v>
      </c>
      <c r="K449" s="1" t="str">
        <f t="shared" si="13"/>
        <v/>
      </c>
      <c r="L449">
        <v>1087</v>
      </c>
      <c r="Q449" t="str">
        <f t="shared" si="12"/>
        <v/>
      </c>
    </row>
    <row r="450" spans="1:17" x14ac:dyDescent="0.2">
      <c r="A450">
        <v>449</v>
      </c>
      <c r="B450" t="s">
        <v>483</v>
      </c>
      <c r="C450" t="s">
        <v>20</v>
      </c>
      <c r="D450" t="s">
        <v>38</v>
      </c>
      <c r="E450" t="s">
        <v>49</v>
      </c>
      <c r="F450" t="s">
        <v>15</v>
      </c>
      <c r="G450" s="1">
        <v>45717</v>
      </c>
      <c r="H450" s="1">
        <v>45732</v>
      </c>
      <c r="I450" s="1">
        <v>45744</v>
      </c>
      <c r="J450" s="1">
        <v>45749</v>
      </c>
      <c r="K450" s="1" t="str">
        <f t="shared" si="13"/>
        <v>Apr-2025</v>
      </c>
      <c r="L450">
        <v>971</v>
      </c>
      <c r="Q450">
        <f t="shared" ref="Q450:Q501" si="14">IF(J450="","",J450-G450)</f>
        <v>32</v>
      </c>
    </row>
    <row r="451" spans="1:17" x14ac:dyDescent="0.2">
      <c r="A451">
        <v>450</v>
      </c>
      <c r="B451" t="s">
        <v>484</v>
      </c>
      <c r="C451" t="s">
        <v>20</v>
      </c>
      <c r="D451" t="s">
        <v>38</v>
      </c>
      <c r="E451" t="s">
        <v>22</v>
      </c>
      <c r="F451" t="s">
        <v>23</v>
      </c>
      <c r="G451" s="1">
        <v>45827</v>
      </c>
      <c r="K451" s="1" t="str">
        <f t="shared" ref="K451:K501" si="15">IF(J451="","",TEXT(J451,"mmm-yyyy"))</f>
        <v/>
      </c>
      <c r="L451">
        <v>1118</v>
      </c>
      <c r="Q451" t="str">
        <f t="shared" si="14"/>
        <v/>
      </c>
    </row>
    <row r="452" spans="1:17" x14ac:dyDescent="0.2">
      <c r="A452">
        <v>451</v>
      </c>
      <c r="B452" t="s">
        <v>485</v>
      </c>
      <c r="C452" t="s">
        <v>25</v>
      </c>
      <c r="D452" t="s">
        <v>38</v>
      </c>
      <c r="E452" t="s">
        <v>22</v>
      </c>
      <c r="F452" t="s">
        <v>15</v>
      </c>
      <c r="G452" s="1">
        <v>45905</v>
      </c>
      <c r="H452" s="1">
        <v>45918</v>
      </c>
      <c r="I452" s="1">
        <v>45943</v>
      </c>
      <c r="J452" s="1">
        <v>45947</v>
      </c>
      <c r="K452" s="1" t="str">
        <f t="shared" si="15"/>
        <v>Oct-2025</v>
      </c>
      <c r="L452">
        <v>1192</v>
      </c>
      <c r="Q452">
        <f t="shared" si="14"/>
        <v>42</v>
      </c>
    </row>
    <row r="453" spans="1:17" x14ac:dyDescent="0.2">
      <c r="A453">
        <v>452</v>
      </c>
      <c r="B453" t="s">
        <v>486</v>
      </c>
      <c r="C453" t="s">
        <v>46</v>
      </c>
      <c r="D453" t="s">
        <v>26</v>
      </c>
      <c r="E453" t="s">
        <v>14</v>
      </c>
      <c r="F453" t="s">
        <v>18</v>
      </c>
      <c r="G453" s="1">
        <v>45929</v>
      </c>
      <c r="H453" s="1">
        <v>45943</v>
      </c>
      <c r="K453" s="1" t="str">
        <f t="shared" si="15"/>
        <v/>
      </c>
      <c r="L453">
        <v>1754</v>
      </c>
      <c r="Q453" t="str">
        <f t="shared" si="14"/>
        <v/>
      </c>
    </row>
    <row r="454" spans="1:17" x14ac:dyDescent="0.2">
      <c r="A454">
        <v>453</v>
      </c>
      <c r="B454" t="s">
        <v>487</v>
      </c>
      <c r="C454" t="s">
        <v>25</v>
      </c>
      <c r="D454" t="s">
        <v>26</v>
      </c>
      <c r="E454" t="s">
        <v>22</v>
      </c>
      <c r="F454" t="s">
        <v>27</v>
      </c>
      <c r="G454" s="1">
        <v>45785</v>
      </c>
      <c r="H454" s="1">
        <v>45805</v>
      </c>
      <c r="I454" s="1">
        <v>45824</v>
      </c>
      <c r="K454" s="1" t="str">
        <f t="shared" si="15"/>
        <v/>
      </c>
      <c r="L454">
        <v>282</v>
      </c>
      <c r="Q454" t="str">
        <f t="shared" si="14"/>
        <v/>
      </c>
    </row>
    <row r="455" spans="1:17" x14ac:dyDescent="0.2">
      <c r="A455">
        <v>454</v>
      </c>
      <c r="B455" t="s">
        <v>488</v>
      </c>
      <c r="C455" t="s">
        <v>12</v>
      </c>
      <c r="D455" t="s">
        <v>13</v>
      </c>
      <c r="E455" t="s">
        <v>33</v>
      </c>
      <c r="F455" t="s">
        <v>15</v>
      </c>
      <c r="G455" s="1">
        <v>45910</v>
      </c>
      <c r="H455" s="1">
        <v>45920</v>
      </c>
      <c r="I455" s="1">
        <v>45930</v>
      </c>
      <c r="J455" s="1">
        <v>45938</v>
      </c>
      <c r="K455" s="1" t="str">
        <f t="shared" si="15"/>
        <v>Oct-2025</v>
      </c>
      <c r="L455">
        <v>1596</v>
      </c>
      <c r="Q455">
        <f t="shared" si="14"/>
        <v>28</v>
      </c>
    </row>
    <row r="456" spans="1:17" x14ac:dyDescent="0.2">
      <c r="A456">
        <v>455</v>
      </c>
      <c r="B456" t="s">
        <v>489</v>
      </c>
      <c r="C456" t="s">
        <v>46</v>
      </c>
      <c r="D456" t="s">
        <v>13</v>
      </c>
      <c r="E456" t="s">
        <v>49</v>
      </c>
      <c r="F456" t="s">
        <v>18</v>
      </c>
      <c r="G456" s="1">
        <v>45672</v>
      </c>
      <c r="H456" s="1">
        <v>45689</v>
      </c>
      <c r="K456" s="1" t="str">
        <f t="shared" si="15"/>
        <v/>
      </c>
      <c r="L456">
        <v>1414</v>
      </c>
      <c r="Q456" t="str">
        <f t="shared" si="14"/>
        <v/>
      </c>
    </row>
    <row r="457" spans="1:17" x14ac:dyDescent="0.2">
      <c r="A457">
        <v>456</v>
      </c>
      <c r="B457" t="s">
        <v>490</v>
      </c>
      <c r="C457" t="s">
        <v>17</v>
      </c>
      <c r="D457" t="s">
        <v>13</v>
      </c>
      <c r="E457" t="s">
        <v>49</v>
      </c>
      <c r="F457" t="s">
        <v>23</v>
      </c>
      <c r="G457" s="1">
        <v>45667</v>
      </c>
      <c r="K457" s="1" t="str">
        <f t="shared" si="15"/>
        <v/>
      </c>
      <c r="L457">
        <v>1729</v>
      </c>
      <c r="Q457" t="str">
        <f t="shared" si="14"/>
        <v/>
      </c>
    </row>
    <row r="458" spans="1:17" x14ac:dyDescent="0.2">
      <c r="A458">
        <v>457</v>
      </c>
      <c r="B458" t="s">
        <v>491</v>
      </c>
      <c r="C458" t="s">
        <v>35</v>
      </c>
      <c r="D458" t="s">
        <v>38</v>
      </c>
      <c r="E458" t="s">
        <v>14</v>
      </c>
      <c r="F458" t="s">
        <v>18</v>
      </c>
      <c r="G458" s="1">
        <v>45796</v>
      </c>
      <c r="H458" s="1">
        <v>45802</v>
      </c>
      <c r="K458" s="1" t="str">
        <f t="shared" si="15"/>
        <v/>
      </c>
      <c r="L458">
        <v>201</v>
      </c>
      <c r="Q458" t="str">
        <f t="shared" si="14"/>
        <v/>
      </c>
    </row>
    <row r="459" spans="1:17" x14ac:dyDescent="0.2">
      <c r="A459">
        <v>458</v>
      </c>
      <c r="B459" t="s">
        <v>492</v>
      </c>
      <c r="C459" t="s">
        <v>35</v>
      </c>
      <c r="D459" t="s">
        <v>21</v>
      </c>
      <c r="E459" t="s">
        <v>36</v>
      </c>
      <c r="F459" t="s">
        <v>23</v>
      </c>
      <c r="G459" s="1">
        <v>45864</v>
      </c>
      <c r="K459" s="1" t="str">
        <f t="shared" si="15"/>
        <v/>
      </c>
      <c r="L459">
        <v>1771</v>
      </c>
      <c r="Q459" t="str">
        <f t="shared" si="14"/>
        <v/>
      </c>
    </row>
    <row r="460" spans="1:17" x14ac:dyDescent="0.2">
      <c r="A460">
        <v>459</v>
      </c>
      <c r="B460" t="s">
        <v>493</v>
      </c>
      <c r="C460" t="s">
        <v>35</v>
      </c>
      <c r="D460" t="s">
        <v>26</v>
      </c>
      <c r="E460" t="s">
        <v>49</v>
      </c>
      <c r="F460" t="s">
        <v>43</v>
      </c>
      <c r="G460" s="1">
        <v>45938</v>
      </c>
      <c r="K460" s="1" t="str">
        <f t="shared" si="15"/>
        <v/>
      </c>
      <c r="L460">
        <v>1196</v>
      </c>
      <c r="Q460" t="str">
        <f t="shared" si="14"/>
        <v/>
      </c>
    </row>
    <row r="461" spans="1:17" x14ac:dyDescent="0.2">
      <c r="A461">
        <v>460</v>
      </c>
      <c r="B461" t="s">
        <v>494</v>
      </c>
      <c r="C461" t="s">
        <v>35</v>
      </c>
      <c r="D461" t="s">
        <v>21</v>
      </c>
      <c r="E461" t="s">
        <v>22</v>
      </c>
      <c r="F461" t="s">
        <v>15</v>
      </c>
      <c r="G461" s="1">
        <v>45906</v>
      </c>
      <c r="H461" s="1">
        <v>45924</v>
      </c>
      <c r="I461" s="1">
        <v>45929</v>
      </c>
      <c r="J461" s="1">
        <v>45933</v>
      </c>
      <c r="K461" s="1" t="str">
        <f t="shared" si="15"/>
        <v>Oct-2025</v>
      </c>
      <c r="L461">
        <v>1492</v>
      </c>
      <c r="Q461">
        <f t="shared" si="14"/>
        <v>27</v>
      </c>
    </row>
    <row r="462" spans="1:17" x14ac:dyDescent="0.2">
      <c r="A462">
        <v>461</v>
      </c>
      <c r="B462" t="s">
        <v>495</v>
      </c>
      <c r="C462" t="s">
        <v>25</v>
      </c>
      <c r="D462" t="s">
        <v>13</v>
      </c>
      <c r="E462" t="s">
        <v>14</v>
      </c>
      <c r="F462" t="s">
        <v>43</v>
      </c>
      <c r="G462" s="1">
        <v>45851</v>
      </c>
      <c r="K462" s="1" t="str">
        <f t="shared" si="15"/>
        <v/>
      </c>
      <c r="L462">
        <v>727</v>
      </c>
      <c r="Q462" t="str">
        <f t="shared" si="14"/>
        <v/>
      </c>
    </row>
    <row r="463" spans="1:17" x14ac:dyDescent="0.2">
      <c r="A463">
        <v>462</v>
      </c>
      <c r="B463" t="s">
        <v>496</v>
      </c>
      <c r="C463" t="s">
        <v>17</v>
      </c>
      <c r="D463" t="s">
        <v>21</v>
      </c>
      <c r="E463" t="s">
        <v>49</v>
      </c>
      <c r="F463" t="s">
        <v>43</v>
      </c>
      <c r="G463" s="1">
        <v>45766</v>
      </c>
      <c r="K463" s="1" t="str">
        <f t="shared" si="15"/>
        <v/>
      </c>
      <c r="L463">
        <v>778</v>
      </c>
      <c r="Q463" t="str">
        <f t="shared" si="14"/>
        <v/>
      </c>
    </row>
    <row r="464" spans="1:17" x14ac:dyDescent="0.2">
      <c r="A464">
        <v>463</v>
      </c>
      <c r="B464" t="s">
        <v>497</v>
      </c>
      <c r="C464" t="s">
        <v>17</v>
      </c>
      <c r="D464" t="s">
        <v>48</v>
      </c>
      <c r="E464" t="s">
        <v>49</v>
      </c>
      <c r="F464" t="s">
        <v>15</v>
      </c>
      <c r="G464" s="1">
        <v>45873</v>
      </c>
      <c r="H464" s="1">
        <v>45879</v>
      </c>
      <c r="I464" s="1">
        <v>45902</v>
      </c>
      <c r="J464" s="1">
        <v>45910</v>
      </c>
      <c r="K464" s="1" t="str">
        <f t="shared" si="15"/>
        <v>Sep-2025</v>
      </c>
      <c r="L464">
        <v>1099</v>
      </c>
      <c r="Q464">
        <f t="shared" si="14"/>
        <v>37</v>
      </c>
    </row>
    <row r="465" spans="1:17" x14ac:dyDescent="0.2">
      <c r="A465">
        <v>464</v>
      </c>
      <c r="B465" t="s">
        <v>498</v>
      </c>
      <c r="C465" t="s">
        <v>12</v>
      </c>
      <c r="D465" t="s">
        <v>48</v>
      </c>
      <c r="E465" t="s">
        <v>22</v>
      </c>
      <c r="F465" t="s">
        <v>51</v>
      </c>
      <c r="G465" s="1">
        <v>45844</v>
      </c>
      <c r="H465" s="1">
        <v>45866</v>
      </c>
      <c r="K465" s="1" t="str">
        <f t="shared" si="15"/>
        <v/>
      </c>
      <c r="L465">
        <v>284</v>
      </c>
      <c r="Q465" t="str">
        <f t="shared" si="14"/>
        <v/>
      </c>
    </row>
    <row r="466" spans="1:17" x14ac:dyDescent="0.2">
      <c r="A466">
        <v>465</v>
      </c>
      <c r="B466" t="s">
        <v>499</v>
      </c>
      <c r="C466" t="s">
        <v>12</v>
      </c>
      <c r="D466" t="s">
        <v>48</v>
      </c>
      <c r="E466" t="s">
        <v>49</v>
      </c>
      <c r="F466" t="s">
        <v>15</v>
      </c>
      <c r="G466" s="1">
        <v>45826</v>
      </c>
      <c r="H466" s="1">
        <v>45850</v>
      </c>
      <c r="I466" s="1">
        <v>45859</v>
      </c>
      <c r="J466" s="1">
        <v>45869</v>
      </c>
      <c r="K466" s="1" t="str">
        <f t="shared" si="15"/>
        <v>Jul-2025</v>
      </c>
      <c r="L466">
        <v>1300</v>
      </c>
      <c r="Q466">
        <f t="shared" si="14"/>
        <v>43</v>
      </c>
    </row>
    <row r="467" spans="1:17" x14ac:dyDescent="0.2">
      <c r="A467">
        <v>466</v>
      </c>
      <c r="B467" t="s">
        <v>500</v>
      </c>
      <c r="C467" t="s">
        <v>46</v>
      </c>
      <c r="D467" t="s">
        <v>21</v>
      </c>
      <c r="E467" t="s">
        <v>49</v>
      </c>
      <c r="F467" t="s">
        <v>43</v>
      </c>
      <c r="G467" s="1">
        <v>45919</v>
      </c>
      <c r="K467" s="1" t="str">
        <f t="shared" si="15"/>
        <v/>
      </c>
      <c r="L467">
        <v>438</v>
      </c>
      <c r="Q467" t="str">
        <f t="shared" si="14"/>
        <v/>
      </c>
    </row>
    <row r="468" spans="1:17" x14ac:dyDescent="0.2">
      <c r="A468">
        <v>467</v>
      </c>
      <c r="B468" t="s">
        <v>501</v>
      </c>
      <c r="C468" t="s">
        <v>35</v>
      </c>
      <c r="D468" t="s">
        <v>30</v>
      </c>
      <c r="E468" t="s">
        <v>49</v>
      </c>
      <c r="F468" t="s">
        <v>31</v>
      </c>
      <c r="G468" s="1">
        <v>45766</v>
      </c>
      <c r="H468" s="1">
        <v>45786</v>
      </c>
      <c r="K468" s="1" t="str">
        <f t="shared" si="15"/>
        <v/>
      </c>
      <c r="L468">
        <v>1699</v>
      </c>
      <c r="Q468" t="str">
        <f t="shared" si="14"/>
        <v/>
      </c>
    </row>
    <row r="469" spans="1:17" x14ac:dyDescent="0.2">
      <c r="A469">
        <v>468</v>
      </c>
      <c r="B469" t="s">
        <v>502</v>
      </c>
      <c r="C469" t="s">
        <v>25</v>
      </c>
      <c r="D469" t="s">
        <v>21</v>
      </c>
      <c r="E469" t="s">
        <v>22</v>
      </c>
      <c r="F469" t="s">
        <v>51</v>
      </c>
      <c r="G469" s="1">
        <v>45786</v>
      </c>
      <c r="H469" s="1">
        <v>45808</v>
      </c>
      <c r="K469" s="1" t="str">
        <f t="shared" si="15"/>
        <v/>
      </c>
      <c r="L469">
        <v>1190</v>
      </c>
      <c r="Q469" t="str">
        <f t="shared" si="14"/>
        <v/>
      </c>
    </row>
    <row r="470" spans="1:17" x14ac:dyDescent="0.2">
      <c r="A470">
        <v>469</v>
      </c>
      <c r="B470" t="s">
        <v>503</v>
      </c>
      <c r="C470" t="s">
        <v>35</v>
      </c>
      <c r="D470" t="s">
        <v>26</v>
      </c>
      <c r="E470" t="s">
        <v>49</v>
      </c>
      <c r="F470" t="s">
        <v>23</v>
      </c>
      <c r="G470" s="1">
        <v>45659</v>
      </c>
      <c r="K470" s="1" t="str">
        <f t="shared" si="15"/>
        <v/>
      </c>
      <c r="L470">
        <v>1060</v>
      </c>
      <c r="Q470" t="str">
        <f t="shared" si="14"/>
        <v/>
      </c>
    </row>
    <row r="471" spans="1:17" x14ac:dyDescent="0.2">
      <c r="A471">
        <v>470</v>
      </c>
      <c r="B471" t="s">
        <v>504</v>
      </c>
      <c r="C471" t="s">
        <v>25</v>
      </c>
      <c r="D471" t="s">
        <v>30</v>
      </c>
      <c r="E471" t="s">
        <v>22</v>
      </c>
      <c r="F471" t="s">
        <v>51</v>
      </c>
      <c r="G471" s="1">
        <v>45778</v>
      </c>
      <c r="H471" s="1">
        <v>45801</v>
      </c>
      <c r="K471" s="1" t="str">
        <f t="shared" si="15"/>
        <v/>
      </c>
      <c r="L471">
        <v>534</v>
      </c>
      <c r="Q471" t="str">
        <f t="shared" si="14"/>
        <v/>
      </c>
    </row>
    <row r="472" spans="1:17" x14ac:dyDescent="0.2">
      <c r="A472">
        <v>471</v>
      </c>
      <c r="B472" t="s">
        <v>505</v>
      </c>
      <c r="C472" t="s">
        <v>20</v>
      </c>
      <c r="D472" t="s">
        <v>13</v>
      </c>
      <c r="E472" t="s">
        <v>14</v>
      </c>
      <c r="F472" t="s">
        <v>51</v>
      </c>
      <c r="G472" s="1">
        <v>45951</v>
      </c>
      <c r="H472" s="1">
        <v>45966</v>
      </c>
      <c r="K472" s="1" t="str">
        <f t="shared" si="15"/>
        <v/>
      </c>
      <c r="L472">
        <v>1940</v>
      </c>
      <c r="Q472" t="str">
        <f t="shared" si="14"/>
        <v/>
      </c>
    </row>
    <row r="473" spans="1:17" x14ac:dyDescent="0.2">
      <c r="A473">
        <v>472</v>
      </c>
      <c r="B473" t="s">
        <v>506</v>
      </c>
      <c r="C473" t="s">
        <v>20</v>
      </c>
      <c r="D473" t="s">
        <v>38</v>
      </c>
      <c r="E473" t="s">
        <v>14</v>
      </c>
      <c r="F473" t="s">
        <v>27</v>
      </c>
      <c r="G473" s="1">
        <v>45766</v>
      </c>
      <c r="H473" s="1">
        <v>45782</v>
      </c>
      <c r="I473" s="1">
        <v>45796</v>
      </c>
      <c r="K473" s="1" t="str">
        <f t="shared" si="15"/>
        <v/>
      </c>
      <c r="L473">
        <v>588</v>
      </c>
      <c r="Q473" t="str">
        <f t="shared" si="14"/>
        <v/>
      </c>
    </row>
    <row r="474" spans="1:17" x14ac:dyDescent="0.2">
      <c r="A474">
        <v>473</v>
      </c>
      <c r="B474" t="s">
        <v>507</v>
      </c>
      <c r="C474" t="s">
        <v>35</v>
      </c>
      <c r="D474" t="s">
        <v>48</v>
      </c>
      <c r="E474" t="s">
        <v>14</v>
      </c>
      <c r="F474" t="s">
        <v>51</v>
      </c>
      <c r="G474" s="1">
        <v>45845</v>
      </c>
      <c r="H474" s="1">
        <v>45861</v>
      </c>
      <c r="K474" s="1" t="str">
        <f t="shared" si="15"/>
        <v/>
      </c>
      <c r="L474">
        <v>459</v>
      </c>
      <c r="Q474" t="str">
        <f t="shared" si="14"/>
        <v/>
      </c>
    </row>
    <row r="475" spans="1:17" x14ac:dyDescent="0.2">
      <c r="A475">
        <v>474</v>
      </c>
      <c r="B475" t="s">
        <v>508</v>
      </c>
      <c r="C475" t="s">
        <v>35</v>
      </c>
      <c r="D475" t="s">
        <v>26</v>
      </c>
      <c r="E475" t="s">
        <v>14</v>
      </c>
      <c r="F475" t="s">
        <v>15</v>
      </c>
      <c r="G475" s="1">
        <v>45844</v>
      </c>
      <c r="H475" s="1">
        <v>45863</v>
      </c>
      <c r="I475" s="1">
        <v>45883</v>
      </c>
      <c r="J475" s="1">
        <v>45892</v>
      </c>
      <c r="K475" s="1" t="str">
        <f t="shared" si="15"/>
        <v>Aug-2025</v>
      </c>
      <c r="L475">
        <v>1286</v>
      </c>
      <c r="Q475">
        <f t="shared" si="14"/>
        <v>48</v>
      </c>
    </row>
    <row r="476" spans="1:17" x14ac:dyDescent="0.2">
      <c r="A476">
        <v>475</v>
      </c>
      <c r="B476" t="s">
        <v>509</v>
      </c>
      <c r="C476" t="s">
        <v>35</v>
      </c>
      <c r="D476" t="s">
        <v>38</v>
      </c>
      <c r="E476" t="s">
        <v>36</v>
      </c>
      <c r="F476" t="s">
        <v>31</v>
      </c>
      <c r="G476" s="1">
        <v>45733</v>
      </c>
      <c r="H476" s="1">
        <v>45748</v>
      </c>
      <c r="K476" s="1" t="str">
        <f t="shared" si="15"/>
        <v/>
      </c>
      <c r="L476">
        <v>630</v>
      </c>
      <c r="Q476" t="str">
        <f t="shared" si="14"/>
        <v/>
      </c>
    </row>
    <row r="477" spans="1:17" x14ac:dyDescent="0.2">
      <c r="A477">
        <v>476</v>
      </c>
      <c r="B477" t="s">
        <v>510</v>
      </c>
      <c r="C477" t="s">
        <v>20</v>
      </c>
      <c r="D477" t="s">
        <v>26</v>
      </c>
      <c r="E477" t="s">
        <v>49</v>
      </c>
      <c r="F477" t="s">
        <v>31</v>
      </c>
      <c r="G477" s="1">
        <v>45835</v>
      </c>
      <c r="H477" s="1">
        <v>45846</v>
      </c>
      <c r="K477" s="1" t="str">
        <f t="shared" si="15"/>
        <v/>
      </c>
      <c r="L477">
        <v>1159</v>
      </c>
      <c r="Q477" t="str">
        <f t="shared" si="14"/>
        <v/>
      </c>
    </row>
    <row r="478" spans="1:17" x14ac:dyDescent="0.2">
      <c r="A478">
        <v>477</v>
      </c>
      <c r="B478" t="s">
        <v>511</v>
      </c>
      <c r="C478" t="s">
        <v>12</v>
      </c>
      <c r="D478" t="s">
        <v>26</v>
      </c>
      <c r="E478" t="s">
        <v>33</v>
      </c>
      <c r="F478" t="s">
        <v>43</v>
      </c>
      <c r="G478" s="1">
        <v>45689</v>
      </c>
      <c r="K478" s="1" t="str">
        <f t="shared" si="15"/>
        <v/>
      </c>
      <c r="L478">
        <v>633</v>
      </c>
      <c r="Q478" t="str">
        <f t="shared" si="14"/>
        <v/>
      </c>
    </row>
    <row r="479" spans="1:17" x14ac:dyDescent="0.2">
      <c r="A479">
        <v>478</v>
      </c>
      <c r="B479" t="s">
        <v>512</v>
      </c>
      <c r="C479" t="s">
        <v>20</v>
      </c>
      <c r="D479" t="s">
        <v>26</v>
      </c>
      <c r="E479" t="s">
        <v>14</v>
      </c>
      <c r="F479" t="s">
        <v>18</v>
      </c>
      <c r="G479" s="1">
        <v>45732</v>
      </c>
      <c r="H479" s="1">
        <v>45755</v>
      </c>
      <c r="K479" s="1" t="str">
        <f t="shared" si="15"/>
        <v/>
      </c>
      <c r="L479">
        <v>1237</v>
      </c>
      <c r="Q479" t="str">
        <f t="shared" si="14"/>
        <v/>
      </c>
    </row>
    <row r="480" spans="1:17" x14ac:dyDescent="0.2">
      <c r="A480">
        <v>479</v>
      </c>
      <c r="B480" t="s">
        <v>513</v>
      </c>
      <c r="C480" t="s">
        <v>35</v>
      </c>
      <c r="D480" t="s">
        <v>13</v>
      </c>
      <c r="E480" t="s">
        <v>36</v>
      </c>
      <c r="F480" t="s">
        <v>18</v>
      </c>
      <c r="G480" s="1">
        <v>45832</v>
      </c>
      <c r="H480" s="1">
        <v>45841</v>
      </c>
      <c r="K480" s="1" t="str">
        <f t="shared" si="15"/>
        <v/>
      </c>
      <c r="L480">
        <v>774</v>
      </c>
      <c r="Q480" t="str">
        <f t="shared" si="14"/>
        <v/>
      </c>
    </row>
    <row r="481" spans="1:17" x14ac:dyDescent="0.2">
      <c r="A481">
        <v>480</v>
      </c>
      <c r="B481" t="s">
        <v>514</v>
      </c>
      <c r="C481" t="s">
        <v>17</v>
      </c>
      <c r="D481" t="s">
        <v>13</v>
      </c>
      <c r="E481" t="s">
        <v>14</v>
      </c>
      <c r="F481" t="s">
        <v>43</v>
      </c>
      <c r="G481" s="1">
        <v>45744</v>
      </c>
      <c r="K481" s="1" t="str">
        <f t="shared" si="15"/>
        <v/>
      </c>
      <c r="L481">
        <v>1434</v>
      </c>
      <c r="Q481" t="str">
        <f t="shared" si="14"/>
        <v/>
      </c>
    </row>
    <row r="482" spans="1:17" x14ac:dyDescent="0.2">
      <c r="A482">
        <v>481</v>
      </c>
      <c r="B482" t="s">
        <v>515</v>
      </c>
      <c r="C482" t="s">
        <v>17</v>
      </c>
      <c r="D482" t="s">
        <v>30</v>
      </c>
      <c r="E482" t="s">
        <v>49</v>
      </c>
      <c r="F482" t="s">
        <v>43</v>
      </c>
      <c r="G482" s="1">
        <v>45856</v>
      </c>
      <c r="K482" s="1" t="str">
        <f t="shared" si="15"/>
        <v/>
      </c>
      <c r="L482">
        <v>491</v>
      </c>
      <c r="Q482" t="str">
        <f t="shared" si="14"/>
        <v/>
      </c>
    </row>
    <row r="483" spans="1:17" x14ac:dyDescent="0.2">
      <c r="A483">
        <v>482</v>
      </c>
      <c r="B483" t="s">
        <v>516</v>
      </c>
      <c r="C483" t="s">
        <v>17</v>
      </c>
      <c r="D483" t="s">
        <v>26</v>
      </c>
      <c r="E483" t="s">
        <v>33</v>
      </c>
      <c r="F483" t="s">
        <v>18</v>
      </c>
      <c r="G483" s="1">
        <v>45850</v>
      </c>
      <c r="H483" s="1">
        <v>45860</v>
      </c>
      <c r="K483" s="1" t="str">
        <f t="shared" si="15"/>
        <v/>
      </c>
      <c r="L483">
        <v>450</v>
      </c>
      <c r="Q483" t="str">
        <f t="shared" si="14"/>
        <v/>
      </c>
    </row>
    <row r="484" spans="1:17" x14ac:dyDescent="0.2">
      <c r="A484">
        <v>483</v>
      </c>
      <c r="B484" t="s">
        <v>517</v>
      </c>
      <c r="C484" t="s">
        <v>20</v>
      </c>
      <c r="D484" t="s">
        <v>26</v>
      </c>
      <c r="E484" t="s">
        <v>22</v>
      </c>
      <c r="F484" t="s">
        <v>27</v>
      </c>
      <c r="G484" s="1">
        <v>45776</v>
      </c>
      <c r="H484" s="1">
        <v>45786</v>
      </c>
      <c r="I484" s="1">
        <v>45800</v>
      </c>
      <c r="K484" s="1" t="str">
        <f t="shared" si="15"/>
        <v/>
      </c>
      <c r="L484">
        <v>503</v>
      </c>
      <c r="Q484" t="str">
        <f t="shared" si="14"/>
        <v/>
      </c>
    </row>
    <row r="485" spans="1:17" x14ac:dyDescent="0.2">
      <c r="A485">
        <v>484</v>
      </c>
      <c r="B485" t="s">
        <v>518</v>
      </c>
      <c r="C485" t="s">
        <v>12</v>
      </c>
      <c r="D485" t="s">
        <v>38</v>
      </c>
      <c r="E485" t="s">
        <v>49</v>
      </c>
      <c r="F485" t="s">
        <v>31</v>
      </c>
      <c r="G485" s="1">
        <v>45721</v>
      </c>
      <c r="H485" s="1">
        <v>45735</v>
      </c>
      <c r="K485" s="1" t="str">
        <f t="shared" si="15"/>
        <v/>
      </c>
      <c r="L485">
        <v>1707</v>
      </c>
      <c r="Q485" t="str">
        <f t="shared" si="14"/>
        <v/>
      </c>
    </row>
    <row r="486" spans="1:17" x14ac:dyDescent="0.2">
      <c r="A486">
        <v>485</v>
      </c>
      <c r="B486" t="s">
        <v>519</v>
      </c>
      <c r="C486" t="s">
        <v>25</v>
      </c>
      <c r="D486" t="s">
        <v>13</v>
      </c>
      <c r="E486" t="s">
        <v>22</v>
      </c>
      <c r="F486" t="s">
        <v>15</v>
      </c>
      <c r="G486" s="1">
        <v>45859</v>
      </c>
      <c r="H486" s="1">
        <v>45865</v>
      </c>
      <c r="I486" s="1">
        <v>45880</v>
      </c>
      <c r="J486" s="1">
        <v>45889</v>
      </c>
      <c r="K486" s="1" t="str">
        <f t="shared" si="15"/>
        <v>Aug-2025</v>
      </c>
      <c r="L486">
        <v>357</v>
      </c>
      <c r="Q486">
        <f t="shared" si="14"/>
        <v>30</v>
      </c>
    </row>
    <row r="487" spans="1:17" x14ac:dyDescent="0.2">
      <c r="A487">
        <v>486</v>
      </c>
      <c r="B487" t="s">
        <v>520</v>
      </c>
      <c r="C487" t="s">
        <v>17</v>
      </c>
      <c r="D487" t="s">
        <v>30</v>
      </c>
      <c r="E487" t="s">
        <v>22</v>
      </c>
      <c r="F487" t="s">
        <v>27</v>
      </c>
      <c r="G487" s="1">
        <v>45715</v>
      </c>
      <c r="H487" s="1">
        <v>45724</v>
      </c>
      <c r="I487" s="1">
        <v>45748</v>
      </c>
      <c r="K487" s="1" t="str">
        <f t="shared" si="15"/>
        <v/>
      </c>
      <c r="L487">
        <v>1284</v>
      </c>
      <c r="Q487" t="str">
        <f t="shared" si="14"/>
        <v/>
      </c>
    </row>
    <row r="488" spans="1:17" x14ac:dyDescent="0.2">
      <c r="A488">
        <v>487</v>
      </c>
      <c r="B488" t="s">
        <v>521</v>
      </c>
      <c r="C488" t="s">
        <v>25</v>
      </c>
      <c r="D488" t="s">
        <v>38</v>
      </c>
      <c r="E488" t="s">
        <v>49</v>
      </c>
      <c r="F488" t="s">
        <v>27</v>
      </c>
      <c r="G488" s="1">
        <v>45921</v>
      </c>
      <c r="H488" s="1">
        <v>45933</v>
      </c>
      <c r="I488" s="1">
        <v>45957</v>
      </c>
      <c r="K488" s="1" t="str">
        <f t="shared" si="15"/>
        <v/>
      </c>
      <c r="L488">
        <v>979</v>
      </c>
      <c r="Q488" t="str">
        <f t="shared" si="14"/>
        <v/>
      </c>
    </row>
    <row r="489" spans="1:17" x14ac:dyDescent="0.2">
      <c r="A489">
        <v>488</v>
      </c>
      <c r="B489" t="s">
        <v>522</v>
      </c>
      <c r="C489" t="s">
        <v>35</v>
      </c>
      <c r="D489" t="s">
        <v>21</v>
      </c>
      <c r="E489" t="s">
        <v>14</v>
      </c>
      <c r="F489" t="s">
        <v>27</v>
      </c>
      <c r="G489" s="1">
        <v>45865</v>
      </c>
      <c r="H489" s="1">
        <v>45883</v>
      </c>
      <c r="I489" s="1">
        <v>45901</v>
      </c>
      <c r="K489" s="1" t="str">
        <f t="shared" si="15"/>
        <v/>
      </c>
      <c r="L489">
        <v>1500</v>
      </c>
      <c r="Q489" t="str">
        <f t="shared" si="14"/>
        <v/>
      </c>
    </row>
    <row r="490" spans="1:17" x14ac:dyDescent="0.2">
      <c r="A490">
        <v>489</v>
      </c>
      <c r="B490" t="s">
        <v>523</v>
      </c>
      <c r="C490" t="s">
        <v>46</v>
      </c>
      <c r="D490" t="s">
        <v>21</v>
      </c>
      <c r="E490" t="s">
        <v>33</v>
      </c>
      <c r="F490" t="s">
        <v>51</v>
      </c>
      <c r="G490" s="1">
        <v>45874</v>
      </c>
      <c r="H490" s="1">
        <v>45881</v>
      </c>
      <c r="K490" s="1" t="str">
        <f t="shared" si="15"/>
        <v/>
      </c>
      <c r="L490">
        <v>971</v>
      </c>
      <c r="Q490" t="str">
        <f t="shared" si="14"/>
        <v/>
      </c>
    </row>
    <row r="491" spans="1:17" x14ac:dyDescent="0.2">
      <c r="A491">
        <v>490</v>
      </c>
      <c r="B491" t="s">
        <v>524</v>
      </c>
      <c r="C491" t="s">
        <v>12</v>
      </c>
      <c r="D491" t="s">
        <v>30</v>
      </c>
      <c r="E491" t="s">
        <v>36</v>
      </c>
      <c r="F491" t="s">
        <v>27</v>
      </c>
      <c r="G491" s="1">
        <v>45725</v>
      </c>
      <c r="H491" s="1">
        <v>45733</v>
      </c>
      <c r="I491" s="1">
        <v>45755</v>
      </c>
      <c r="K491" s="1" t="str">
        <f t="shared" si="15"/>
        <v/>
      </c>
      <c r="L491">
        <v>1761</v>
      </c>
      <c r="Q491" t="str">
        <f t="shared" si="14"/>
        <v/>
      </c>
    </row>
    <row r="492" spans="1:17" x14ac:dyDescent="0.2">
      <c r="A492">
        <v>491</v>
      </c>
      <c r="B492" t="s">
        <v>525</v>
      </c>
      <c r="C492" t="s">
        <v>12</v>
      </c>
      <c r="D492" t="s">
        <v>38</v>
      </c>
      <c r="E492" t="s">
        <v>49</v>
      </c>
      <c r="F492" t="s">
        <v>27</v>
      </c>
      <c r="G492" s="1">
        <v>45880</v>
      </c>
      <c r="H492" s="1">
        <v>45891</v>
      </c>
      <c r="I492" s="1">
        <v>45910</v>
      </c>
      <c r="K492" s="1" t="str">
        <f t="shared" si="15"/>
        <v/>
      </c>
      <c r="L492">
        <v>1243</v>
      </c>
      <c r="Q492" t="str">
        <f t="shared" si="14"/>
        <v/>
      </c>
    </row>
    <row r="493" spans="1:17" x14ac:dyDescent="0.2">
      <c r="A493">
        <v>492</v>
      </c>
      <c r="B493" t="s">
        <v>526</v>
      </c>
      <c r="C493" t="s">
        <v>35</v>
      </c>
      <c r="D493" t="s">
        <v>48</v>
      </c>
      <c r="E493" t="s">
        <v>33</v>
      </c>
      <c r="F493" t="s">
        <v>51</v>
      </c>
      <c r="G493" s="1">
        <v>45741</v>
      </c>
      <c r="H493" s="1">
        <v>45757</v>
      </c>
      <c r="K493" s="1" t="str">
        <f t="shared" si="15"/>
        <v/>
      </c>
      <c r="L493">
        <v>1459</v>
      </c>
      <c r="Q493" t="str">
        <f t="shared" si="14"/>
        <v/>
      </c>
    </row>
    <row r="494" spans="1:17" x14ac:dyDescent="0.2">
      <c r="A494">
        <v>493</v>
      </c>
      <c r="B494" t="s">
        <v>527</v>
      </c>
      <c r="C494" t="s">
        <v>20</v>
      </c>
      <c r="D494" t="s">
        <v>26</v>
      </c>
      <c r="E494" t="s">
        <v>14</v>
      </c>
      <c r="F494" t="s">
        <v>31</v>
      </c>
      <c r="G494" s="1">
        <v>45889</v>
      </c>
      <c r="H494" s="1">
        <v>45914</v>
      </c>
      <c r="K494" s="1" t="str">
        <f t="shared" si="15"/>
        <v/>
      </c>
      <c r="L494">
        <v>1059</v>
      </c>
      <c r="Q494" t="str">
        <f t="shared" si="14"/>
        <v/>
      </c>
    </row>
    <row r="495" spans="1:17" x14ac:dyDescent="0.2">
      <c r="A495">
        <v>494</v>
      </c>
      <c r="B495" t="s">
        <v>528</v>
      </c>
      <c r="C495" t="s">
        <v>20</v>
      </c>
      <c r="D495" t="s">
        <v>30</v>
      </c>
      <c r="E495" t="s">
        <v>36</v>
      </c>
      <c r="F495" t="s">
        <v>18</v>
      </c>
      <c r="G495" s="1">
        <v>45930</v>
      </c>
      <c r="H495" s="1">
        <v>45935</v>
      </c>
      <c r="K495" s="1" t="str">
        <f t="shared" si="15"/>
        <v/>
      </c>
      <c r="L495">
        <v>497</v>
      </c>
      <c r="Q495" t="str">
        <f t="shared" si="14"/>
        <v/>
      </c>
    </row>
    <row r="496" spans="1:17" x14ac:dyDescent="0.2">
      <c r="A496">
        <v>495</v>
      </c>
      <c r="B496" t="s">
        <v>529</v>
      </c>
      <c r="C496" t="s">
        <v>17</v>
      </c>
      <c r="D496" t="s">
        <v>38</v>
      </c>
      <c r="E496" t="s">
        <v>33</v>
      </c>
      <c r="F496" t="s">
        <v>23</v>
      </c>
      <c r="G496" s="1">
        <v>45755</v>
      </c>
      <c r="K496" s="1" t="str">
        <f t="shared" si="15"/>
        <v/>
      </c>
      <c r="L496">
        <v>458</v>
      </c>
      <c r="Q496" t="str">
        <f t="shared" si="14"/>
        <v/>
      </c>
    </row>
    <row r="497" spans="1:17" x14ac:dyDescent="0.2">
      <c r="A497">
        <v>496</v>
      </c>
      <c r="B497" t="s">
        <v>530</v>
      </c>
      <c r="C497" t="s">
        <v>25</v>
      </c>
      <c r="D497" t="s">
        <v>38</v>
      </c>
      <c r="E497" t="s">
        <v>36</v>
      </c>
      <c r="F497" t="s">
        <v>27</v>
      </c>
      <c r="G497" s="1">
        <v>45887</v>
      </c>
      <c r="H497" s="1">
        <v>45908</v>
      </c>
      <c r="I497" s="1">
        <v>45914</v>
      </c>
      <c r="K497" s="1" t="str">
        <f t="shared" si="15"/>
        <v/>
      </c>
      <c r="L497">
        <v>1873</v>
      </c>
      <c r="Q497" t="str">
        <f t="shared" si="14"/>
        <v/>
      </c>
    </row>
    <row r="498" spans="1:17" x14ac:dyDescent="0.2">
      <c r="A498">
        <v>497</v>
      </c>
      <c r="B498" t="s">
        <v>531</v>
      </c>
      <c r="C498" t="s">
        <v>17</v>
      </c>
      <c r="D498" t="s">
        <v>13</v>
      </c>
      <c r="E498" t="s">
        <v>36</v>
      </c>
      <c r="F498" t="s">
        <v>43</v>
      </c>
      <c r="G498" s="1">
        <v>45693</v>
      </c>
      <c r="K498" s="1" t="str">
        <f t="shared" si="15"/>
        <v/>
      </c>
      <c r="L498">
        <v>897</v>
      </c>
      <c r="Q498" t="str">
        <f t="shared" si="14"/>
        <v/>
      </c>
    </row>
    <row r="499" spans="1:17" x14ac:dyDescent="0.2">
      <c r="A499">
        <v>498</v>
      </c>
      <c r="B499" t="s">
        <v>532</v>
      </c>
      <c r="C499" t="s">
        <v>12</v>
      </c>
      <c r="D499" t="s">
        <v>30</v>
      </c>
      <c r="E499" t="s">
        <v>36</v>
      </c>
      <c r="F499" t="s">
        <v>51</v>
      </c>
      <c r="G499" s="1">
        <v>45809</v>
      </c>
      <c r="H499" s="1">
        <v>45830</v>
      </c>
      <c r="K499" s="1" t="str">
        <f t="shared" si="15"/>
        <v/>
      </c>
      <c r="L499">
        <v>1685</v>
      </c>
      <c r="Q499" t="str">
        <f t="shared" si="14"/>
        <v/>
      </c>
    </row>
    <row r="500" spans="1:17" x14ac:dyDescent="0.2">
      <c r="A500">
        <v>499</v>
      </c>
      <c r="B500" t="s">
        <v>533</v>
      </c>
      <c r="C500" t="s">
        <v>17</v>
      </c>
      <c r="D500" t="s">
        <v>30</v>
      </c>
      <c r="E500" t="s">
        <v>14</v>
      </c>
      <c r="F500" t="s">
        <v>43</v>
      </c>
      <c r="G500" s="1">
        <v>45861</v>
      </c>
      <c r="K500" s="1" t="str">
        <f t="shared" si="15"/>
        <v/>
      </c>
      <c r="L500">
        <v>663</v>
      </c>
      <c r="Q500" t="str">
        <f t="shared" si="14"/>
        <v/>
      </c>
    </row>
    <row r="501" spans="1:17" x14ac:dyDescent="0.2">
      <c r="A501">
        <v>500</v>
      </c>
      <c r="B501" t="s">
        <v>534</v>
      </c>
      <c r="C501" t="s">
        <v>25</v>
      </c>
      <c r="D501" t="s">
        <v>26</v>
      </c>
      <c r="E501" t="s">
        <v>22</v>
      </c>
      <c r="F501" t="s">
        <v>18</v>
      </c>
      <c r="G501" s="1">
        <v>45776</v>
      </c>
      <c r="H501" s="1">
        <v>45783</v>
      </c>
      <c r="K501" s="1" t="str">
        <f t="shared" si="15"/>
        <v/>
      </c>
      <c r="L501">
        <v>398</v>
      </c>
      <c r="Q501" t="str">
        <f t="shared" si="14"/>
        <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8351-F3B2-A843-AC27-6F671EBD3BFA}">
  <dimension ref="A3:B12"/>
  <sheetViews>
    <sheetView workbookViewId="0">
      <selection activeCell="B7" sqref="B7"/>
    </sheetView>
  </sheetViews>
  <sheetFormatPr baseColWidth="10" defaultRowHeight="16" x14ac:dyDescent="0.2"/>
  <cols>
    <col min="1" max="1" width="13" bestFit="1" customWidth="1"/>
    <col min="2" max="2" width="19.1640625" bestFit="1" customWidth="1"/>
    <col min="3" max="5" width="17.83203125" bestFit="1" customWidth="1"/>
  </cols>
  <sheetData>
    <row r="3" spans="1:2" x14ac:dyDescent="0.2">
      <c r="B3" t="s">
        <v>543</v>
      </c>
    </row>
    <row r="4" spans="1:2" x14ac:dyDescent="0.2">
      <c r="A4" s="5" t="s">
        <v>23</v>
      </c>
      <c r="B4">
        <v>67</v>
      </c>
    </row>
    <row r="5" spans="1:2" x14ac:dyDescent="0.2">
      <c r="A5" s="5" t="s">
        <v>31</v>
      </c>
      <c r="B5">
        <v>69</v>
      </c>
    </row>
    <row r="6" spans="1:2" x14ac:dyDescent="0.2">
      <c r="A6" s="5" t="s">
        <v>15</v>
      </c>
      <c r="B6">
        <v>68</v>
      </c>
    </row>
    <row r="7" spans="1:2" x14ac:dyDescent="0.2">
      <c r="A7" s="5" t="s">
        <v>51</v>
      </c>
      <c r="B7">
        <v>73</v>
      </c>
    </row>
    <row r="8" spans="1:2" x14ac:dyDescent="0.2">
      <c r="A8" s="5" t="s">
        <v>27</v>
      </c>
      <c r="B8">
        <v>66</v>
      </c>
    </row>
    <row r="9" spans="1:2" x14ac:dyDescent="0.2">
      <c r="A9" s="5" t="s">
        <v>18</v>
      </c>
      <c r="B9">
        <v>71</v>
      </c>
    </row>
    <row r="10" spans="1:2" x14ac:dyDescent="0.2">
      <c r="A10" s="5" t="s">
        <v>43</v>
      </c>
      <c r="B10">
        <v>86</v>
      </c>
    </row>
    <row r="11" spans="1:2" x14ac:dyDescent="0.2">
      <c r="A11" s="5" t="s">
        <v>541</v>
      </c>
    </row>
    <row r="12" spans="1:2" x14ac:dyDescent="0.2">
      <c r="A12" s="5" t="s">
        <v>542</v>
      </c>
      <c r="B12">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C1F99-3EB4-AF4D-9C04-6FA08166BA23}">
  <dimension ref="A1:B9"/>
  <sheetViews>
    <sheetView workbookViewId="0">
      <selection activeCell="B6" sqref="B6"/>
    </sheetView>
  </sheetViews>
  <sheetFormatPr baseColWidth="10" defaultRowHeight="16" x14ac:dyDescent="0.2"/>
  <cols>
    <col min="1" max="1" width="15.83203125" bestFit="1" customWidth="1"/>
    <col min="2" max="2" width="19.1640625" bestFit="1" customWidth="1"/>
  </cols>
  <sheetData>
    <row r="1" spans="1:2" x14ac:dyDescent="0.2">
      <c r="A1" s="4" t="s">
        <v>5</v>
      </c>
      <c r="B1" t="s">
        <v>15</v>
      </c>
    </row>
    <row r="3" spans="1:2" x14ac:dyDescent="0.2">
      <c r="B3" t="s">
        <v>543</v>
      </c>
    </row>
    <row r="4" spans="1:2" x14ac:dyDescent="0.2">
      <c r="A4" s="5" t="s">
        <v>49</v>
      </c>
      <c r="B4">
        <v>14</v>
      </c>
    </row>
    <row r="5" spans="1:2" x14ac:dyDescent="0.2">
      <c r="A5" s="5" t="s">
        <v>33</v>
      </c>
      <c r="B5">
        <v>6</v>
      </c>
    </row>
    <row r="6" spans="1:2" x14ac:dyDescent="0.2">
      <c r="A6" s="5" t="s">
        <v>14</v>
      </c>
      <c r="B6">
        <v>17</v>
      </c>
    </row>
    <row r="7" spans="1:2" x14ac:dyDescent="0.2">
      <c r="A7" s="5" t="s">
        <v>22</v>
      </c>
      <c r="B7">
        <v>17</v>
      </c>
    </row>
    <row r="8" spans="1:2" x14ac:dyDescent="0.2">
      <c r="A8" s="5" t="s">
        <v>36</v>
      </c>
      <c r="B8">
        <v>14</v>
      </c>
    </row>
    <row r="9" spans="1:2" x14ac:dyDescent="0.2">
      <c r="A9" s="5" t="s">
        <v>542</v>
      </c>
      <c r="B9">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70D7-FB1E-4448-82D7-B9BA4F3305A4}">
  <dimension ref="A1:B14"/>
  <sheetViews>
    <sheetView workbookViewId="0">
      <selection activeCell="B6" sqref="B6"/>
    </sheetView>
  </sheetViews>
  <sheetFormatPr baseColWidth="10" defaultRowHeight="16" x14ac:dyDescent="0.2"/>
  <cols>
    <col min="1" max="1" width="12.33203125" bestFit="1" customWidth="1"/>
    <col min="2" max="2" width="19.1640625" bestFit="1" customWidth="1"/>
  </cols>
  <sheetData>
    <row r="1" spans="1:2" x14ac:dyDescent="0.2">
      <c r="A1" s="4" t="s">
        <v>5</v>
      </c>
      <c r="B1" t="s">
        <v>15</v>
      </c>
    </row>
    <row r="3" spans="1:2" x14ac:dyDescent="0.2">
      <c r="B3" t="s">
        <v>543</v>
      </c>
    </row>
    <row r="4" spans="1:2" x14ac:dyDescent="0.2">
      <c r="A4" s="5" t="s">
        <v>545</v>
      </c>
      <c r="B4">
        <v>6</v>
      </c>
    </row>
    <row r="5" spans="1:2" x14ac:dyDescent="0.2">
      <c r="A5" s="5" t="s">
        <v>546</v>
      </c>
      <c r="B5">
        <v>6</v>
      </c>
    </row>
    <row r="6" spans="1:2" x14ac:dyDescent="0.2">
      <c r="A6" s="5" t="s">
        <v>547</v>
      </c>
      <c r="B6">
        <v>9</v>
      </c>
    </row>
    <row r="7" spans="1:2" x14ac:dyDescent="0.2">
      <c r="A7" s="5" t="s">
        <v>548</v>
      </c>
      <c r="B7">
        <v>7</v>
      </c>
    </row>
    <row r="8" spans="1:2" x14ac:dyDescent="0.2">
      <c r="A8" s="5" t="s">
        <v>549</v>
      </c>
      <c r="B8">
        <v>3</v>
      </c>
    </row>
    <row r="9" spans="1:2" x14ac:dyDescent="0.2">
      <c r="A9" s="5" t="s">
        <v>550</v>
      </c>
      <c r="B9">
        <v>9</v>
      </c>
    </row>
    <row r="10" spans="1:2" x14ac:dyDescent="0.2">
      <c r="A10" s="5" t="s">
        <v>551</v>
      </c>
      <c r="B10">
        <v>7</v>
      </c>
    </row>
    <row r="11" spans="1:2" x14ac:dyDescent="0.2">
      <c r="A11" s="5" t="s">
        <v>552</v>
      </c>
      <c r="B11">
        <v>2</v>
      </c>
    </row>
    <row r="12" spans="1:2" x14ac:dyDescent="0.2">
      <c r="A12" s="5" t="s">
        <v>553</v>
      </c>
      <c r="B12">
        <v>9</v>
      </c>
    </row>
    <row r="13" spans="1:2" x14ac:dyDescent="0.2">
      <c r="A13" s="5" t="s">
        <v>554</v>
      </c>
      <c r="B13">
        <v>10</v>
      </c>
    </row>
    <row r="14" spans="1:2" x14ac:dyDescent="0.2">
      <c r="A14" s="5" t="s">
        <v>542</v>
      </c>
      <c r="B14">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AD24-E84E-7C4E-9993-C0572BB3C4BC}">
  <dimension ref="A3:B9"/>
  <sheetViews>
    <sheetView workbookViewId="0">
      <selection activeCell="B4" sqref="B4"/>
    </sheetView>
  </sheetViews>
  <sheetFormatPr baseColWidth="10" defaultRowHeight="16" x14ac:dyDescent="0.2"/>
  <cols>
    <col min="1" max="1" width="15.83203125" bestFit="1" customWidth="1"/>
    <col min="2" max="2" width="20.5" style="6" bestFit="1" customWidth="1"/>
  </cols>
  <sheetData>
    <row r="3" spans="1:2" x14ac:dyDescent="0.2">
      <c r="B3" s="6" t="s">
        <v>555</v>
      </c>
    </row>
    <row r="4" spans="1:2" x14ac:dyDescent="0.2">
      <c r="A4" s="5" t="s">
        <v>49</v>
      </c>
      <c r="B4" s="6">
        <v>36</v>
      </c>
    </row>
    <row r="5" spans="1:2" x14ac:dyDescent="0.2">
      <c r="A5" s="5" t="s">
        <v>33</v>
      </c>
      <c r="B5" s="6">
        <v>33.166666666666664</v>
      </c>
    </row>
    <row r="6" spans="1:2" x14ac:dyDescent="0.2">
      <c r="A6" s="5" t="s">
        <v>14</v>
      </c>
      <c r="B6" s="6">
        <v>38.117647058823529</v>
      </c>
    </row>
    <row r="7" spans="1:2" x14ac:dyDescent="0.2">
      <c r="A7" s="5" t="s">
        <v>22</v>
      </c>
      <c r="B7" s="6">
        <v>36.882352941176471</v>
      </c>
    </row>
    <row r="8" spans="1:2" x14ac:dyDescent="0.2">
      <c r="A8" s="5" t="s">
        <v>36</v>
      </c>
      <c r="B8" s="6">
        <v>36.357142857142854</v>
      </c>
    </row>
    <row r="9" spans="1:2" x14ac:dyDescent="0.2">
      <c r="A9" s="5" t="s">
        <v>542</v>
      </c>
      <c r="B9" s="6">
        <v>36.573529411764703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DDAA-2129-E148-ABC3-D244EACD5D3B}">
  <dimension ref="A1:V73"/>
  <sheetViews>
    <sheetView topLeftCell="A58" workbookViewId="0">
      <selection activeCell="M76" sqref="M76"/>
    </sheetView>
  </sheetViews>
  <sheetFormatPr baseColWidth="10" defaultRowHeight="27" x14ac:dyDescent="0.2"/>
  <cols>
    <col min="1" max="1" width="19.5" style="8" bestFit="1" customWidth="1"/>
    <col min="2" max="2" width="17.5" style="8" customWidth="1"/>
    <col min="3" max="4" width="10.83203125" style="8"/>
    <col min="5" max="5" width="10.83203125" style="8" customWidth="1"/>
    <col min="6" max="11" width="10.83203125" style="8"/>
    <col min="12" max="12" width="10.83203125" style="8" customWidth="1"/>
    <col min="13" max="16384" width="10.83203125" style="8"/>
  </cols>
  <sheetData>
    <row r="1" spans="1:22" ht="22" customHeight="1" x14ac:dyDescent="0.2">
      <c r="A1" s="12" t="s">
        <v>556</v>
      </c>
      <c r="B1" s="13"/>
      <c r="C1" s="13"/>
      <c r="D1" s="13"/>
      <c r="E1" s="13"/>
      <c r="F1" s="13"/>
      <c r="G1" s="13"/>
      <c r="H1" s="13"/>
      <c r="I1" s="13"/>
      <c r="J1" s="13"/>
      <c r="K1" s="13"/>
      <c r="L1" s="13"/>
      <c r="M1" s="13"/>
      <c r="N1" s="13"/>
      <c r="O1" s="13"/>
      <c r="P1" s="13"/>
      <c r="Q1" s="13"/>
      <c r="R1" s="13"/>
      <c r="S1" s="13"/>
      <c r="T1" s="13"/>
      <c r="U1" s="13"/>
      <c r="V1" s="13"/>
    </row>
    <row r="2" spans="1:22" x14ac:dyDescent="0.2">
      <c r="A2" s="14" t="s">
        <v>557</v>
      </c>
      <c r="B2" s="15"/>
      <c r="C2" s="15"/>
      <c r="D2" s="15"/>
      <c r="E2" s="15"/>
      <c r="F2" s="15"/>
      <c r="G2" s="15"/>
      <c r="H2" s="15"/>
      <c r="I2" s="15"/>
      <c r="J2" s="15"/>
      <c r="K2" s="15"/>
      <c r="L2" s="15"/>
      <c r="M2" s="15"/>
      <c r="N2" s="15"/>
      <c r="O2" s="15"/>
      <c r="P2" s="15"/>
      <c r="Q2" s="15"/>
      <c r="R2" s="15"/>
      <c r="S2" s="15"/>
      <c r="T2" s="15"/>
      <c r="U2" s="15"/>
      <c r="V2" s="15"/>
    </row>
    <row r="4" spans="1:22" x14ac:dyDescent="0.2">
      <c r="A4" s="9" t="s">
        <v>558</v>
      </c>
      <c r="B4" s="9" t="s">
        <v>559</v>
      </c>
    </row>
    <row r="5" spans="1:22" x14ac:dyDescent="0.2">
      <c r="A5" s="7" t="s">
        <v>560</v>
      </c>
      <c r="B5" s="7" cm="1">
        <f t="array" ref="B5">COUNTA(Table4[candidate_id]-1)</f>
        <v>500</v>
      </c>
    </row>
    <row r="6" spans="1:22" x14ac:dyDescent="0.2">
      <c r="A6" s="7" t="s">
        <v>561</v>
      </c>
      <c r="B6" s="7">
        <f>COUNTIF(Recruitment_dashboard_dataset!F:F,"Hired")</f>
        <v>68</v>
      </c>
    </row>
    <row r="7" spans="1:22" x14ac:dyDescent="0.2">
      <c r="A7" s="7" t="s">
        <v>564</v>
      </c>
      <c r="B7" s="7">
        <f>COUNTA(Recruitment_dashboard_dataset!I:I)-1</f>
        <v>134</v>
      </c>
    </row>
    <row r="8" spans="1:22" x14ac:dyDescent="0.2">
      <c r="A8" s="7" t="s">
        <v>562</v>
      </c>
      <c r="B8" s="10">
        <f>B6/B7</f>
        <v>0.5074626865671642</v>
      </c>
    </row>
    <row r="9" spans="1:22" x14ac:dyDescent="0.2">
      <c r="A9" s="7" t="s">
        <v>563</v>
      </c>
      <c r="B9" s="11">
        <f>AVERAGE(Recruitment_dashboard_dataset!Q:Q)-1</f>
        <v>35.573529411764703</v>
      </c>
    </row>
    <row r="63" spans="4:19" x14ac:dyDescent="0.2">
      <c r="D63" s="17" t="s">
        <v>565</v>
      </c>
      <c r="E63" s="16"/>
      <c r="F63" s="16"/>
      <c r="G63" s="16"/>
      <c r="H63" s="16"/>
      <c r="I63" s="16"/>
      <c r="J63" s="16"/>
      <c r="K63" s="16"/>
      <c r="L63" s="16"/>
      <c r="M63" s="16"/>
      <c r="N63" s="16"/>
      <c r="O63" s="16"/>
      <c r="P63" s="16"/>
      <c r="Q63" s="16"/>
      <c r="R63" s="16"/>
      <c r="S63" s="16"/>
    </row>
    <row r="64" spans="4:19" x14ac:dyDescent="0.2">
      <c r="D64" s="16"/>
      <c r="E64" s="16"/>
      <c r="F64" s="16"/>
      <c r="G64" s="16"/>
      <c r="H64" s="16"/>
      <c r="I64" s="16"/>
      <c r="J64" s="16"/>
      <c r="K64" s="16"/>
      <c r="L64" s="16"/>
      <c r="M64" s="16"/>
      <c r="N64" s="16"/>
      <c r="O64" s="16"/>
      <c r="P64" s="16"/>
      <c r="Q64" s="16"/>
      <c r="R64" s="16"/>
      <c r="S64" s="16"/>
    </row>
    <row r="65" spans="4:19" x14ac:dyDescent="0.2">
      <c r="D65" s="16"/>
      <c r="E65" s="16"/>
      <c r="F65" s="16"/>
      <c r="G65" s="16"/>
      <c r="H65" s="16"/>
      <c r="I65" s="16"/>
      <c r="J65" s="16"/>
      <c r="K65" s="16"/>
      <c r="L65" s="16"/>
      <c r="M65" s="16"/>
      <c r="N65" s="16"/>
      <c r="O65" s="16"/>
      <c r="P65" s="16"/>
      <c r="Q65" s="16"/>
      <c r="R65" s="16"/>
      <c r="S65" s="16"/>
    </row>
    <row r="66" spans="4:19" x14ac:dyDescent="0.2">
      <c r="D66" s="16"/>
      <c r="E66" s="16"/>
      <c r="F66" s="16"/>
      <c r="G66" s="16"/>
      <c r="H66" s="16"/>
      <c r="I66" s="16"/>
      <c r="J66" s="16"/>
      <c r="K66" s="16"/>
      <c r="L66" s="16"/>
      <c r="M66" s="16"/>
      <c r="N66" s="16"/>
      <c r="O66" s="16"/>
      <c r="P66" s="16"/>
      <c r="Q66" s="16"/>
      <c r="R66" s="16"/>
      <c r="S66" s="16"/>
    </row>
    <row r="67" spans="4:19" x14ac:dyDescent="0.2">
      <c r="D67" s="16"/>
      <c r="E67" s="16"/>
      <c r="F67" s="16"/>
      <c r="G67" s="16"/>
      <c r="H67" s="16"/>
      <c r="I67" s="16"/>
      <c r="J67" s="16"/>
      <c r="K67" s="16"/>
      <c r="L67" s="16"/>
      <c r="M67" s="16"/>
      <c r="N67" s="16"/>
      <c r="O67" s="16"/>
      <c r="P67" s="16"/>
      <c r="Q67" s="16"/>
      <c r="R67" s="16"/>
      <c r="S67" s="16"/>
    </row>
    <row r="68" spans="4:19" x14ac:dyDescent="0.2">
      <c r="D68" s="16"/>
      <c r="E68" s="16"/>
      <c r="F68" s="16"/>
      <c r="G68" s="16"/>
      <c r="H68" s="16"/>
      <c r="I68" s="16"/>
      <c r="J68" s="16"/>
      <c r="K68" s="16"/>
      <c r="L68" s="16"/>
      <c r="M68" s="16"/>
      <c r="N68" s="16"/>
      <c r="O68" s="16"/>
      <c r="P68" s="16"/>
      <c r="Q68" s="16"/>
      <c r="R68" s="16"/>
      <c r="S68" s="16"/>
    </row>
    <row r="69" spans="4:19" x14ac:dyDescent="0.2">
      <c r="D69" s="16"/>
      <c r="E69" s="16"/>
      <c r="F69" s="16"/>
      <c r="G69" s="16"/>
      <c r="H69" s="16"/>
      <c r="I69" s="16"/>
      <c r="J69" s="16"/>
      <c r="K69" s="16"/>
      <c r="L69" s="16"/>
      <c r="M69" s="16"/>
      <c r="N69" s="16"/>
      <c r="O69" s="16"/>
      <c r="P69" s="16"/>
      <c r="Q69" s="16"/>
      <c r="R69" s="16"/>
      <c r="S69" s="16"/>
    </row>
    <row r="70" spans="4:19" x14ac:dyDescent="0.2">
      <c r="D70" s="16"/>
      <c r="E70" s="16"/>
      <c r="F70" s="16"/>
      <c r="G70" s="16"/>
      <c r="H70" s="16"/>
      <c r="I70" s="16"/>
      <c r="J70" s="16"/>
      <c r="K70" s="16"/>
      <c r="L70" s="16"/>
      <c r="M70" s="16"/>
      <c r="N70" s="16"/>
      <c r="O70" s="16"/>
      <c r="P70" s="16"/>
      <c r="Q70" s="16"/>
      <c r="R70" s="16"/>
      <c r="S70" s="16"/>
    </row>
    <row r="71" spans="4:19" x14ac:dyDescent="0.2">
      <c r="D71" s="16"/>
      <c r="E71" s="16"/>
      <c r="F71" s="16"/>
      <c r="G71" s="16"/>
      <c r="H71" s="16"/>
      <c r="I71" s="16"/>
      <c r="J71" s="16"/>
      <c r="K71" s="16"/>
      <c r="L71" s="16"/>
      <c r="M71" s="16"/>
      <c r="N71" s="16"/>
      <c r="O71" s="16"/>
      <c r="P71" s="16"/>
      <c r="Q71" s="16"/>
      <c r="R71" s="16"/>
      <c r="S71" s="16"/>
    </row>
    <row r="72" spans="4:19" x14ac:dyDescent="0.2">
      <c r="D72" s="16"/>
      <c r="E72" s="16"/>
      <c r="F72" s="16"/>
      <c r="G72" s="16"/>
      <c r="H72" s="16"/>
      <c r="I72" s="16"/>
      <c r="J72" s="16"/>
      <c r="K72" s="16"/>
      <c r="L72" s="16"/>
      <c r="M72" s="16"/>
      <c r="N72" s="16"/>
      <c r="O72" s="16"/>
      <c r="P72" s="16"/>
      <c r="Q72" s="16"/>
      <c r="R72" s="16"/>
      <c r="S72" s="16"/>
    </row>
    <row r="73" spans="4:19" x14ac:dyDescent="0.2">
      <c r="D73" s="16"/>
      <c r="E73" s="16"/>
      <c r="F73" s="16"/>
      <c r="G73" s="16"/>
      <c r="H73" s="16"/>
      <c r="I73" s="16"/>
      <c r="J73" s="16"/>
      <c r="K73" s="16"/>
      <c r="L73" s="16"/>
      <c r="M73" s="16"/>
      <c r="N73" s="16"/>
      <c r="O73" s="16"/>
      <c r="P73" s="16"/>
      <c r="Q73" s="16"/>
      <c r="R73" s="16"/>
      <c r="S73" s="16"/>
    </row>
  </sheetData>
  <mergeCells count="3">
    <mergeCell ref="A1:V1"/>
    <mergeCell ref="A2:V2"/>
    <mergeCell ref="D63:S7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5925-5C5B-1E46-9C6E-7993FEC2D78D}">
  <dimension ref="A1"/>
  <sheetViews>
    <sheetView tabSelected="1" topLeftCell="A24" workbookViewId="0">
      <selection activeCell="S41" sqref="S41"/>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Recruitment_dashboard_dataset</vt:lpstr>
      <vt:lpstr>Recruitment Funnel</vt:lpstr>
      <vt:lpstr>Hiring By Source</vt:lpstr>
      <vt:lpstr>Hiring Trend Over time </vt:lpstr>
      <vt:lpstr>Average Time-to-Hire by Source</vt:lpstr>
      <vt:lpstr>Recruitment Dashboard</vt:lpstr>
      <vt:lpstr>Key Insights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 mehra</dc:creator>
  <cp:lastModifiedBy>arsh mehra</cp:lastModifiedBy>
  <dcterms:created xsi:type="dcterms:W3CDTF">2026-03-10T07:14:13Z</dcterms:created>
  <dcterms:modified xsi:type="dcterms:W3CDTF">2026-03-10T10:19:15Z</dcterms:modified>
</cp:coreProperties>
</file>